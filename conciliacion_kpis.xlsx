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AC90561-58F1-48F1-BBD7-B16A7C33E52B}" xr6:coauthVersionLast="47" xr6:coauthVersionMax="47" xr10:uidLastSave="{00000000-0000-0000-0000-000000000000}"/>
  <bookViews>
    <workbookView xWindow="-108" yWindow="492" windowWidth="23256" windowHeight="12576" tabRatio="571" xr2:uid="{00000000-000D-0000-FFFF-FFFF00000000}"/>
  </bookViews>
  <sheets>
    <sheet name="Dashboard" sheetId="1" r:id="rId1"/>
    <sheet name="ranking_comercios_riesgo" sheetId="2" r:id="rId2"/>
    <sheet name="kpi_resumen_diario" sheetId="3" r:id="rId3"/>
    <sheet name="kpi_fraude_por_horario" sheetId="4" r:id="rId4"/>
    <sheet name="kpi_fraude_por_estado" sheetId="5" r:id="rId5"/>
    <sheet name="kpi_fraude_por_categoria (2)" sheetId="6" r:id="rId6"/>
    <sheet name="kpi_fraude_por_categoria" sheetId="7" r:id="rId7"/>
  </sheets>
  <definedNames>
    <definedName name="DatosExternos_1" localSheetId="5" hidden="1">'kpi_fraude_por_categoria (2)'!$A$1:$F$15</definedName>
    <definedName name="DatosExternos_2" localSheetId="4" hidden="1">kpi_fraude_por_estado!$A$1:$D$51</definedName>
    <definedName name="DatosExternos_3" localSheetId="3" hidden="1">kpi_fraude_por_horario!$A$1:$F$25</definedName>
    <definedName name="DatosExternos_4" localSheetId="2" hidden="1">kpi_resumen_diario!$A$1:$E$195</definedName>
    <definedName name="DatosExternos_5" localSheetId="1" hidden="1">'ranking_comercios_riesgo'!$A$1:$D$694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  <c r="G15" i="1"/>
  <c r="G16" i="1"/>
  <c r="G17" i="1"/>
  <c r="G18" i="1"/>
  <c r="G14" i="1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N4" i="1"/>
  <c r="J4" i="1"/>
  <c r="F4" i="1"/>
  <c r="R4" i="1"/>
</calcChain>
</file>

<file path=xl/sharedStrings.xml><?xml version="1.0" encoding="utf-8"?>
<sst xmlns="http://schemas.openxmlformats.org/spreadsheetml/2006/main" count="818" uniqueCount="799">
  <si>
    <t>Total Transacciones</t>
  </si>
  <si>
    <t>Total Fraudes</t>
  </si>
  <si>
    <t>Monto Total</t>
  </si>
  <si>
    <t>Monto Fraude</t>
  </si>
  <si>
    <t>Tasa de Fraude</t>
  </si>
  <si>
    <t>nombre_comercio</t>
  </si>
  <si>
    <t>total_transacciones</t>
  </si>
  <si>
    <t>total_fraudes</t>
  </si>
  <si>
    <t>tasa_fraude_pct</t>
  </si>
  <si>
    <t>fraud_romaguera, cruickshank and greenholt</t>
  </si>
  <si>
    <t>fraud_lemke-gutmann</t>
  </si>
  <si>
    <t>fraud_mosciski, ziemann and farrell</t>
  </si>
  <si>
    <t>fraud_heathcote, yost and kertzmann</t>
  </si>
  <si>
    <t>fraud_rodriguez, yost and jenkins</t>
  </si>
  <si>
    <t>fraud_medhurst plc</t>
  </si>
  <si>
    <t>fraud_bashirian group</t>
  </si>
  <si>
    <t>fraud_kris-weimann</t>
  </si>
  <si>
    <t>fraud_heathcote llc</t>
  </si>
  <si>
    <t>fraud_bednar group</t>
  </si>
  <si>
    <t>fraud_klocko llc</t>
  </si>
  <si>
    <t>fraud_schultz, simonis and little</t>
  </si>
  <si>
    <t>fraud_bernier, volkman and hoeger</t>
  </si>
  <si>
    <t>fraud_mante group</t>
  </si>
  <si>
    <t>fraud_altenwerth, cartwright and koss</t>
  </si>
  <si>
    <t>fraud_kuhic llc</t>
  </si>
  <si>
    <t>fraud_volkman ltd</t>
  </si>
  <si>
    <t>fraud_langworth, boehm and gulgowski</t>
  </si>
  <si>
    <t>fraud_terry-huel</t>
  </si>
  <si>
    <t>fraud_boyer-reichert</t>
  </si>
  <si>
    <t>fraud_auer-west</t>
  </si>
  <si>
    <t>fraud_kerluke, kertzmann and wiza</t>
  </si>
  <si>
    <t>fraud_miller-hauck</t>
  </si>
  <si>
    <t>fraud_kihn, abernathy and douglas</t>
  </si>
  <si>
    <t>fraud_kiehn inc</t>
  </si>
  <si>
    <t>fraud_kozey-boehm</t>
  </si>
  <si>
    <t>fraud_schmeler, bashirian and price</t>
  </si>
  <si>
    <t>fraud_stamm-witting</t>
  </si>
  <si>
    <t>fraud_bogisich-homenick</t>
  </si>
  <si>
    <t>fraud_reichert, huels and hoppe</t>
  </si>
  <si>
    <t>fraud_hills-witting</t>
  </si>
  <si>
    <t>fraud_moen, reinger and murphy</t>
  </si>
  <si>
    <t>fraud_kuphal-bartoletti</t>
  </si>
  <si>
    <t>fraud_stanton, jakubowski and baumbach</t>
  </si>
  <si>
    <t>fraud_huel, hammes and witting</t>
  </si>
  <si>
    <t>fraud_greenholt, o'hara and balistreri</t>
  </si>
  <si>
    <t>fraud_durgan-auer</t>
  </si>
  <si>
    <t>fraud_miller-harris</t>
  </si>
  <si>
    <t>fraud_kunze inc</t>
  </si>
  <si>
    <t>fraud_cole plc</t>
  </si>
  <si>
    <t>fraud_koelpin and sons</t>
  </si>
  <si>
    <t>fraud_strosin-cruickshank</t>
  </si>
  <si>
    <t>fraud_rippin, kub and mann</t>
  </si>
  <si>
    <t>fraud_stehr, jewess and schimmel</t>
  </si>
  <si>
    <t>fraud_o'keefe-hudson</t>
  </si>
  <si>
    <t>fraud_wolf inc</t>
  </si>
  <si>
    <t>fraud_zemlak group</t>
  </si>
  <si>
    <t>fraud_nader-heller</t>
  </si>
  <si>
    <t>fraud_rempel inc</t>
  </si>
  <si>
    <t>fraud_parisian, schiller and altenwerth</t>
  </si>
  <si>
    <t>fraud_kerluke-abshire</t>
  </si>
  <si>
    <t>fraud_gottlieb, considine and schultz</t>
  </si>
  <si>
    <t>fraud_jast ltd</t>
  </si>
  <si>
    <t>fraud_mcglynn-heathcote</t>
  </si>
  <si>
    <t>fraud_kiehn-emmerich</t>
  </si>
  <si>
    <t>fraud_flatley-durgan</t>
  </si>
  <si>
    <t>fraud_price inc</t>
  </si>
  <si>
    <t>fraud_cartwright-harris</t>
  </si>
  <si>
    <t>fraud_doyle ltd</t>
  </si>
  <si>
    <t>fraud_labadie, treutel and bode</t>
  </si>
  <si>
    <t>fraud_osinski, ledner and leuschke</t>
  </si>
  <si>
    <t>fraud_rau and sons</t>
  </si>
  <si>
    <t>fraud_moore, dibbert and koepp</t>
  </si>
  <si>
    <t>fraud_schmidt and sons</t>
  </si>
  <si>
    <t>fraud_stracke-lemke</t>
  </si>
  <si>
    <t>fraud_murray-smitham</t>
  </si>
  <si>
    <t>fraud_lockman ltd</t>
  </si>
  <si>
    <t>fraud_mcdermott-weimann</t>
  </si>
  <si>
    <t>fraud_gerlach inc</t>
  </si>
  <si>
    <t>fraud_boyer plc</t>
  </si>
  <si>
    <t>fraud_dubuque llc</t>
  </si>
  <si>
    <t>fraud_predovic inc</t>
  </si>
  <si>
    <t>fraud_fisher inc</t>
  </si>
  <si>
    <t>fraud_streich, dietrich and barton</t>
  </si>
  <si>
    <t>fraud_kuhic, bins and pfeffer</t>
  </si>
  <si>
    <t>fraud_jaskolski-vandervort</t>
  </si>
  <si>
    <t>fraud_goyette inc</t>
  </si>
  <si>
    <t>fraud_rohan, white and aufderhar</t>
  </si>
  <si>
    <t>fraud_hackett-lueilwitz</t>
  </si>
  <si>
    <t>fraud_goodwin-nitzsche</t>
  </si>
  <si>
    <t>fraud_swaniawski, lowe and robel</t>
  </si>
  <si>
    <t>fraud_towne, greenholt and koepp</t>
  </si>
  <si>
    <t>fraud_kovacek, dibbert and ondricka</t>
  </si>
  <si>
    <t>fraud_ferry, lynch and kautzer</t>
  </si>
  <si>
    <t>fraud_kutch and sons</t>
  </si>
  <si>
    <t>fraud_gleason-macejkovic</t>
  </si>
  <si>
    <t>fraud_kerluke inc</t>
  </si>
  <si>
    <t>fraud_dooley-thompson</t>
  </si>
  <si>
    <t>fraud_johnson, runolfsdottir and mayer</t>
  </si>
  <si>
    <t>fraud_fisher-schowalter</t>
  </si>
  <si>
    <t>fraud_donnelly plc</t>
  </si>
  <si>
    <t>fraud_lockman, west and runte</t>
  </si>
  <si>
    <t>fraud_reichert, shanahan and hayes</t>
  </si>
  <si>
    <t>fraud_larson, quitzon and spencer</t>
  </si>
  <si>
    <t>fraud_kerluke, considine and macejkovic</t>
  </si>
  <si>
    <t>fraud_lehner, mosciski and king</t>
  </si>
  <si>
    <t>fraud_huel-langworth</t>
  </si>
  <si>
    <t>fraud_herman, treutel and dickens</t>
  </si>
  <si>
    <t>fraud_kovacek ltd</t>
  </si>
  <si>
    <t>fraud_schamberger-o'keefe</t>
  </si>
  <si>
    <t>fraud_rowe, batz and goodwin</t>
  </si>
  <si>
    <t>fraud_kuhic inc</t>
  </si>
  <si>
    <t>fraud_mohr-bayer</t>
  </si>
  <si>
    <t>fraud_kassulke plc</t>
  </si>
  <si>
    <t>fraud_volkman-predovic</t>
  </si>
  <si>
    <t>fraud_huel ltd</t>
  </si>
  <si>
    <t>fraud_kilback llc</t>
  </si>
  <si>
    <t>fraud_zboncak, rowe and murazik</t>
  </si>
  <si>
    <t>fraud_padberg-welch</t>
  </si>
  <si>
    <t>fraud_baumbach, hodkiewicz and walsh</t>
  </si>
  <si>
    <t>fraud_swift, bradtke and marquardt</t>
  </si>
  <si>
    <t>fraud_mosciski, gislason and mertz</t>
  </si>
  <si>
    <t>fraud_heller, gutmann and zieme</t>
  </si>
  <si>
    <t>fraud_bailey-morar</t>
  </si>
  <si>
    <t>fraud_schumm, bauch and ondricka</t>
  </si>
  <si>
    <t>fraud_macejkovic-lesch</t>
  </si>
  <si>
    <t>fraud_harris, gusikowski and heaney</t>
  </si>
  <si>
    <t>fraud_parisian and sons</t>
  </si>
  <si>
    <t>fraud_beier-hyatt</t>
  </si>
  <si>
    <t>fraud_gutmann-upton</t>
  </si>
  <si>
    <t>fraud_bauch-raynor</t>
  </si>
  <si>
    <t>fraud_hudson-ratke</t>
  </si>
  <si>
    <t>fraud_koepp-parker</t>
  </si>
  <si>
    <t>fraud_deckow-o'conner</t>
  </si>
  <si>
    <t>fraud_lebsack and sons</t>
  </si>
  <si>
    <t>fraud_pacocha-o'reilly</t>
  </si>
  <si>
    <t>fraud_friesen inc</t>
  </si>
  <si>
    <t>fraud_kuhn llc</t>
  </si>
  <si>
    <t>fraud_goldner, kovacek and abbott</t>
  </si>
  <si>
    <t>fraud_koepp-witting</t>
  </si>
  <si>
    <t>fraud_torphy-goyette</t>
  </si>
  <si>
    <t>fraud_corwin-gorczany</t>
  </si>
  <si>
    <t>fraud_conroy-cruickshank</t>
  </si>
  <si>
    <t>fraud_schmitt ltd</t>
  </si>
  <si>
    <t>fraud_bradtke plc</t>
  </si>
  <si>
    <t>fraud_rutherford-mertz</t>
  </si>
  <si>
    <t>fraud_turner and sons</t>
  </si>
  <si>
    <t>fraud_auer-mosciski</t>
  </si>
  <si>
    <t>fraud_bogisich inc</t>
  </si>
  <si>
    <t>fraud_schumm plc</t>
  </si>
  <si>
    <t>fraud_christiansen, goyette and schamberger</t>
  </si>
  <si>
    <t>fraud_hickle group</t>
  </si>
  <si>
    <t>fraud_reichert, rowe and mraz</t>
  </si>
  <si>
    <t>fraud_cummerata-jones</t>
  </si>
  <si>
    <t>fraud_quitzon, green and bashirian</t>
  </si>
  <si>
    <t>fraud_stoltenberg-beatty</t>
  </si>
  <si>
    <t>fraud_wilkinson ltd</t>
  </si>
  <si>
    <t>fraud_pouros-haag</t>
  </si>
  <si>
    <t>fraud_botsford ltd</t>
  </si>
  <si>
    <t>fraud_kris-padberg</t>
  </si>
  <si>
    <t>fraud_mayert group</t>
  </si>
  <si>
    <t>fraud_sawayn plc</t>
  </si>
  <si>
    <t>fraud_kuphal-predovic</t>
  </si>
  <si>
    <t>fraud_casper, hand and zulauf</t>
  </si>
  <si>
    <t>fraud_ankunding llc</t>
  </si>
  <si>
    <t>fraud_kozey-mcdermott</t>
  </si>
  <si>
    <t>fraud_mosciski group</t>
  </si>
  <si>
    <t>fraud_schroeder, wolff and hermiston</t>
  </si>
  <si>
    <t>fraud_barton inc</t>
  </si>
  <si>
    <t>fraud_dach-nader</t>
  </si>
  <si>
    <t>fraud_lemke and sons</t>
  </si>
  <si>
    <t>fraud_little-gleichner</t>
  </si>
  <si>
    <t>fraud_schiller, blanda and johnson</t>
  </si>
  <si>
    <t>fraud_bruen-yost</t>
  </si>
  <si>
    <t>fraud_corwin-romaguera</t>
  </si>
  <si>
    <t>fraud_bednar inc</t>
  </si>
  <si>
    <t>fraud_tillman, fritsch and schmitt</t>
  </si>
  <si>
    <t>fraud_schoen, kuphal and nitzsche</t>
  </si>
  <si>
    <t>fraud_ziemann-waters</t>
  </si>
  <si>
    <t>fraud_hayes, marquardt and dibbert</t>
  </si>
  <si>
    <t>fraud_block-parisian</t>
  </si>
  <si>
    <t>fraud_murray ltd</t>
  </si>
  <si>
    <t>fraud_baumbach, strosin and nicolas</t>
  </si>
  <si>
    <t>fraud_welch inc</t>
  </si>
  <si>
    <t>fraud_ruecker group</t>
  </si>
  <si>
    <t>fraud_funk group</t>
  </si>
  <si>
    <t>fraud_gutmann ltd</t>
  </si>
  <si>
    <t>fraud_schuppe, nolan and hoeger</t>
  </si>
  <si>
    <t>fraud_heidenreich plc</t>
  </si>
  <si>
    <t>fraud_homenick llc</t>
  </si>
  <si>
    <t>fraud_erdman-schaden</t>
  </si>
  <si>
    <t>fraud_ferry, reichel and dubuque</t>
  </si>
  <si>
    <t>fraud_bernier, streich and jewess</t>
  </si>
  <si>
    <t>fraud_watsica, haag and considine</t>
  </si>
  <si>
    <t>fraud_barrows plc</t>
  </si>
  <si>
    <t>fraud_okuneva, schneider and rau</t>
  </si>
  <si>
    <t>fraud_ruecker, beer and collier</t>
  </si>
  <si>
    <t>fraud_pacocha-bauch</t>
  </si>
  <si>
    <t>fraud_heaney-marquardt</t>
  </si>
  <si>
    <t>fraud_hintz-bruen</t>
  </si>
  <si>
    <t>fraud_daugherty, pouros and beahan</t>
  </si>
  <si>
    <t>fraud_baumbach, feeney and morar</t>
  </si>
  <si>
    <t>fraud_stark-batz</t>
  </si>
  <si>
    <t>fraud_kuvalis ltd</t>
  </si>
  <si>
    <t>fraud_hilpert-conroy</t>
  </si>
  <si>
    <t>fraud_bahringer, osinski and block</t>
  </si>
  <si>
    <t>fraud_little, gutmann and lynch</t>
  </si>
  <si>
    <t>fraud_huels-nolan</t>
  </si>
  <si>
    <t>fraud_stroman, hudson and erdman</t>
  </si>
  <si>
    <t>fraud_boehm, predovic and reinger</t>
  </si>
  <si>
    <t>fraud_harber inc</t>
  </si>
  <si>
    <t>fraud_spencer-runolfsson</t>
  </si>
  <si>
    <t>fraud_wisozk and sons</t>
  </si>
  <si>
    <t>fraud_nitzsche, kessler and wolff</t>
  </si>
  <si>
    <t>fraud_little ltd</t>
  </si>
  <si>
    <t>fraud_halvorson group</t>
  </si>
  <si>
    <t>fraud_haley group</t>
  </si>
  <si>
    <t>fraud_stamm-rodriguez</t>
  </si>
  <si>
    <t>fraud_lynch ltd</t>
  </si>
  <si>
    <t>fraud_dare, casper and bartoletti</t>
  </si>
  <si>
    <t>fraud_dooley inc</t>
  </si>
  <si>
    <t>fraud_conroy ltd</t>
  </si>
  <si>
    <t>fraud_kirlin and sons</t>
  </si>
  <si>
    <t>fraud_ledner, hartmann and feest</t>
  </si>
  <si>
    <t>fraud_roob, conn and tremblay</t>
  </si>
  <si>
    <t>fraud_jacobi and sons</t>
  </si>
  <si>
    <t>fraud_emmerich-rau</t>
  </si>
  <si>
    <t>fraud_thompson-gleason</t>
  </si>
  <si>
    <t>fraud_lehner, reichert and mills</t>
  </si>
  <si>
    <t>fraud_bahringer, schoen and corkery</t>
  </si>
  <si>
    <t>fraud_pouros-conroy</t>
  </si>
  <si>
    <t>fraud_gottlieb-hansen</t>
  </si>
  <si>
    <t>fraud_cormier, stracke and thiel</t>
  </si>
  <si>
    <t>fraud_roberts, ryan and smith</t>
  </si>
  <si>
    <t>fraud_willms, kris and bergnaum</t>
  </si>
  <si>
    <t>fraud_vandervort-funk</t>
  </si>
  <si>
    <t>fraud_shields-wunsch</t>
  </si>
  <si>
    <t>fraud_adams-barrows</t>
  </si>
  <si>
    <t>fraud_effertz, welch and schowalter</t>
  </si>
  <si>
    <t>fraud_schneider, hayes and nikolaus</t>
  </si>
  <si>
    <t>fraud_jones, sawayn and romaguera</t>
  </si>
  <si>
    <t>fraud_luettgen plc</t>
  </si>
  <si>
    <t>fraud_gaylord-powlowski</t>
  </si>
  <si>
    <t>fraud_bahringer, bergnaum and quitzon</t>
  </si>
  <si>
    <t>fraud_reichel inc</t>
  </si>
  <si>
    <t>fraud_langworth llc</t>
  </si>
  <si>
    <t>fraud_osinski inc</t>
  </si>
  <si>
    <t>fraud_jenkins, hauck and friesen</t>
  </si>
  <si>
    <t>fraud_schmitt inc</t>
  </si>
  <si>
    <t>fraud_brown plc</t>
  </si>
  <si>
    <t>fraud_kerluke plc</t>
  </si>
  <si>
    <t>fraud_reilly, heaney and cole</t>
  </si>
  <si>
    <t>fraud_mraz-herzog</t>
  </si>
  <si>
    <t>fraud_bins-rice</t>
  </si>
  <si>
    <t>fraud_rodriguez group</t>
  </si>
  <si>
    <t>fraud_kunde-sanford</t>
  </si>
  <si>
    <t>fraud_goyette, howell and collier</t>
  </si>
  <si>
    <t>fraud_streich, rolfson and wilderman</t>
  </si>
  <si>
    <t>fraud_jerde-hermann</t>
  </si>
  <si>
    <t>fraud_cormier llc</t>
  </si>
  <si>
    <t>fraud_mohr inc</t>
  </si>
  <si>
    <t>fraud_kihn inc</t>
  </si>
  <si>
    <t>fraud_nolan-williamson</t>
  </si>
  <si>
    <t>fraud_herman inc</t>
  </si>
  <si>
    <t>fraud_leannon-nikolaus</t>
  </si>
  <si>
    <t>fraud_satterfield-lowe</t>
  </si>
  <si>
    <t>fraud_beer-jast</t>
  </si>
  <si>
    <t>fraud_hoppe-parisian</t>
  </si>
  <si>
    <t>fraud_haley, jewess and bechtelar</t>
  </si>
  <si>
    <t>fraud_pagac llc</t>
  </si>
  <si>
    <t>fraud_eichmann-russel</t>
  </si>
  <si>
    <t>fraud_mcglynn-jaskolski</t>
  </si>
  <si>
    <t>fraud_dach-borer</t>
  </si>
  <si>
    <t>fraud_ankunding-carroll</t>
  </si>
  <si>
    <t>fraud_romaguera and sons</t>
  </si>
  <si>
    <t>fraud_schaefer, maggio and daugherty</t>
  </si>
  <si>
    <t>fraud_rau-robel</t>
  </si>
  <si>
    <t>fraud_o'reilly, mohr and purdy</t>
  </si>
  <si>
    <t>fraud_wuckert, wintheiser and friesen</t>
  </si>
  <si>
    <t>fraud_beier and sons</t>
  </si>
  <si>
    <t>fraud_konopelski, schneider and hartmann</t>
  </si>
  <si>
    <t>fraud_stiedemann inc</t>
  </si>
  <si>
    <t>fraud_dare, fritsch and zboncak</t>
  </si>
  <si>
    <t>fraud_nienow, ankunding and collier</t>
  </si>
  <si>
    <t>fraud_flatley group</t>
  </si>
  <si>
    <t>fraud_fritsch llc</t>
  </si>
  <si>
    <t>fraud_ritchie, oberbrunner and cremin</t>
  </si>
  <si>
    <t>fraud_eichmann, hayes and treutel</t>
  </si>
  <si>
    <t>fraud_tromp group</t>
  </si>
  <si>
    <t>fraud_mclaughlin, armstrong and koepp</t>
  </si>
  <si>
    <t>fraud_kris-kertzmann</t>
  </si>
  <si>
    <t>fraud_lynch-wisozk</t>
  </si>
  <si>
    <t>fraud_olson, becker and koch</t>
  </si>
  <si>
    <t>fraud_jewess llc</t>
  </si>
  <si>
    <t>fraud_watsica llc</t>
  </si>
  <si>
    <t>fraud_howe ltd</t>
  </si>
  <si>
    <t>fraud_terry, johns and bins</t>
  </si>
  <si>
    <t>fraud_ratke and sons</t>
  </si>
  <si>
    <t>fraud_vonrueden group</t>
  </si>
  <si>
    <t>fraud_lynch-mohr</t>
  </si>
  <si>
    <t>fraud_thiel ltd</t>
  </si>
  <si>
    <t>fraud_tillman llc</t>
  </si>
  <si>
    <t>fraud_prohaska-murray</t>
  </si>
  <si>
    <t>fraud_torp-labadie</t>
  </si>
  <si>
    <t>fraud_bernhard inc</t>
  </si>
  <si>
    <t>fraud_tillman, dickinson and labadie</t>
  </si>
  <si>
    <t>fraud_botsford and sons</t>
  </si>
  <si>
    <t>fraud_kutch llc</t>
  </si>
  <si>
    <t>fraud_roob-okuneva</t>
  </si>
  <si>
    <t>fraud_gibson-deckow</t>
  </si>
  <si>
    <t>fraud_hyatt, russel and gleichner</t>
  </si>
  <si>
    <t>fraud_koss, mclaughlin and mayer</t>
  </si>
  <si>
    <t>fraud_erdman-ebert</t>
  </si>
  <si>
    <t>fraud_hamill-d'amore</t>
  </si>
  <si>
    <t>fraud_yost, block and koepp</t>
  </si>
  <si>
    <t>fraud_conroy, balistreri and gorczany</t>
  </si>
  <si>
    <t>fraud_balistreri-nader</t>
  </si>
  <si>
    <t>fraud_hills-olson</t>
  </si>
  <si>
    <t>fraud_kutch group</t>
  </si>
  <si>
    <t>fraud_hyatt-blick</t>
  </si>
  <si>
    <t>fraud_wuckert-walter</t>
  </si>
  <si>
    <t>fraud_johnston-casper</t>
  </si>
  <si>
    <t>fraud_collier inc</t>
  </si>
  <si>
    <t>fraud_emmerich-luettgen</t>
  </si>
  <si>
    <t>fraud_hartmann, rowe and hermann</t>
  </si>
  <si>
    <t>fraud_block-hauck</t>
  </si>
  <si>
    <t>fraud_hahn, douglas and schowalter</t>
  </si>
  <si>
    <t>fraud_streich, hansen and veum</t>
  </si>
  <si>
    <t>fraud_robel, cummerata and prosacco</t>
  </si>
  <si>
    <t>fraud_kling inc</t>
  </si>
  <si>
    <t>fraud_ledner-pfannerstill</t>
  </si>
  <si>
    <t>fraud_koss and sons</t>
  </si>
  <si>
    <t>fraud_greenholt, jacobi and gleason</t>
  </si>
  <si>
    <t>fraud_langosh, wintheiser and hyatt</t>
  </si>
  <si>
    <t>fraud_bins-tillman</t>
  </si>
  <si>
    <t>fraud_turner, ziemann and lehner</t>
  </si>
  <si>
    <t>fraud_will ltd</t>
  </si>
  <si>
    <t>fraud_marvin-lind</t>
  </si>
  <si>
    <t>fraud_kozey-kuhlman</t>
  </si>
  <si>
    <t>fraud_kassulke inc</t>
  </si>
  <si>
    <t>fraud_o'keefe-wisoky</t>
  </si>
  <si>
    <t>fraud_abbott-steuber</t>
  </si>
  <si>
    <t>fraud_howe plc</t>
  </si>
  <si>
    <t>fraud_morissette llc</t>
  </si>
  <si>
    <t>fraud_daugherty-thompson</t>
  </si>
  <si>
    <t>fraud_fadel inc</t>
  </si>
  <si>
    <t>fraud_shanahan-lehner</t>
  </si>
  <si>
    <t>fraud_reilly and sons</t>
  </si>
  <si>
    <t>fraud_rolfson-kunde</t>
  </si>
  <si>
    <t>fraud_smitham-schiller</t>
  </si>
  <si>
    <t>fraud_runolfsson and sons</t>
  </si>
  <si>
    <t>fraud_skiles-ankunding</t>
  </si>
  <si>
    <t>fraud_hagenes, hermann and stroman</t>
  </si>
  <si>
    <t>fraud_tromp, kerluke and glover</t>
  </si>
  <si>
    <t>fraud_lakin, ferry and beatty</t>
  </si>
  <si>
    <t>fraud_connelly plc</t>
  </si>
  <si>
    <t>fraud_zboncak ltd</t>
  </si>
  <si>
    <t>fraud_schuppe-schuppe</t>
  </si>
  <si>
    <t>fraud_schroeder, hauck and treutel</t>
  </si>
  <si>
    <t>fraud_baumbach ltd</t>
  </si>
  <si>
    <t>fraud_schoen, nienow and bauch</t>
  </si>
  <si>
    <t>fraud_hagenes, kohler and hoppe</t>
  </si>
  <si>
    <t>fraud_dicki ltd</t>
  </si>
  <si>
    <t>fraud_rowe-vandervort</t>
  </si>
  <si>
    <t>fraud_jaskolski-dibbert</t>
  </si>
  <si>
    <t>fraud_spinka-welch</t>
  </si>
  <si>
    <t>fraud_johnston, nikolaus and maggio</t>
  </si>
  <si>
    <t>fraud_towne, walker and borer</t>
  </si>
  <si>
    <t>fraud_rempel plc</t>
  </si>
  <si>
    <t>fraud_nienow plc</t>
  </si>
  <si>
    <t>fraud_auer llc</t>
  </si>
  <si>
    <t>fraud_hills-boyer</t>
  </si>
  <si>
    <t>fraud_zulauf llc</t>
  </si>
  <si>
    <t>fraud_kilback and sons</t>
  </si>
  <si>
    <t>fraud_leannon-ward</t>
  </si>
  <si>
    <t>fraud_stokes, christiansen and sipes</t>
  </si>
  <si>
    <t>fraud_cassin-harvey</t>
  </si>
  <si>
    <t>fraud_adams, kovacek and kuhlman</t>
  </si>
  <si>
    <t>fraud_bahringer-larson</t>
  </si>
  <si>
    <t>fraud_spinka inc</t>
  </si>
  <si>
    <t>fraud_roberts, daniel and macejkovic</t>
  </si>
  <si>
    <t>fraud_brown inc</t>
  </si>
  <si>
    <t>fraud_schimmel-olson</t>
  </si>
  <si>
    <t>fraud_weimann, kuhic and beahan</t>
  </si>
  <si>
    <t>fraud_bode-schuster</t>
  </si>
  <si>
    <t>fraud_lubowitz-walter</t>
  </si>
  <si>
    <t>fraud_bernier and sons</t>
  </si>
  <si>
    <t>fraud_bednar plc</t>
  </si>
  <si>
    <t>fraud_denesik and sons</t>
  </si>
  <si>
    <t>fraud_skiles llc</t>
  </si>
  <si>
    <t>fraud_terry ltd</t>
  </si>
  <si>
    <t>fraud_schaefer ltd</t>
  </si>
  <si>
    <t>fraud_kling, howe and schneider</t>
  </si>
  <si>
    <t>fraud_hermann and sons</t>
  </si>
  <si>
    <t>fraud_bins, balistreri and beatty</t>
  </si>
  <si>
    <t>fraud_botsford plc</t>
  </si>
  <si>
    <t>fraud_schoen-quigley</t>
  </si>
  <si>
    <t>fraud_pfeffer and sons</t>
  </si>
  <si>
    <t>fraud_bernhard, grant and langworth</t>
  </si>
  <si>
    <t>fraud_hudson-grady</t>
  </si>
  <si>
    <t>fraud_renner ltd</t>
  </si>
  <si>
    <t>fraud_eichmann-kilback</t>
  </si>
  <si>
    <t>fraud_windler, goodwin and kovacek</t>
  </si>
  <si>
    <t>fraud_koss, hansen and lueilwitz</t>
  </si>
  <si>
    <t>fraud_kutch-ferry</t>
  </si>
  <si>
    <t>fraud_mcdermott, osinski and morar</t>
  </si>
  <si>
    <t>fraud_berge-ullrich</t>
  </si>
  <si>
    <t>fraud_raynor, reinger and hagenes</t>
  </si>
  <si>
    <t>fraud_eichmann, bogan and rodriguez</t>
  </si>
  <si>
    <t>fraud_erdman-kertzmann</t>
  </si>
  <si>
    <t>fraud_friesen-d'amore</t>
  </si>
  <si>
    <t>fraud_brekke and sons</t>
  </si>
  <si>
    <t>fraud_sporer inc</t>
  </si>
  <si>
    <t>fraud_cummings llc</t>
  </si>
  <si>
    <t>fraud_berge llc</t>
  </si>
  <si>
    <t>fraud_heller-langosh</t>
  </si>
  <si>
    <t>fraud_connelly, reichert and fritsch</t>
  </si>
  <si>
    <t>fraud_friesen-stamm</t>
  </si>
  <si>
    <t>fraud_cole, hills and jewess</t>
  </si>
  <si>
    <t>fraud_corwin-collins</t>
  </si>
  <si>
    <t>fraud_zieme, bode and dooley</t>
  </si>
  <si>
    <t>fraud_huels-hahn</t>
  </si>
  <si>
    <t>fraud_greenfelder, bartoletti and davis</t>
  </si>
  <si>
    <t>fraud_emard inc</t>
  </si>
  <si>
    <t>fraud_monahan, bogisich and ledner</t>
  </si>
  <si>
    <t>fraud_reynolds-schinner</t>
  </si>
  <si>
    <t>fraud_christiansen-gusikowski</t>
  </si>
  <si>
    <t>fraud_roberts-beahan</t>
  </si>
  <si>
    <t>fraud_williamson llc</t>
  </si>
  <si>
    <t>fraud_smith-stokes</t>
  </si>
  <si>
    <t>fraud_boehm, block and jakubowski</t>
  </si>
  <si>
    <t>fraud_herzog ltd</t>
  </si>
  <si>
    <t>fraud_stiedemann ltd</t>
  </si>
  <si>
    <t>fraud_friesen ltd</t>
  </si>
  <si>
    <t>fraud_hills, hegmann and schaefer</t>
  </si>
  <si>
    <t>fraud_cronin, kshlerin and weber</t>
  </si>
  <si>
    <t>fraud_zemlak, tillman and cremin</t>
  </si>
  <si>
    <t>fraud_feil-morar</t>
  </si>
  <si>
    <t>fraud_fadel-hilpert</t>
  </si>
  <si>
    <t>fraud_waters-cruickshank</t>
  </si>
  <si>
    <t>fraud_klocko, runolfsdottir and breitenberg</t>
  </si>
  <si>
    <t>fraud_turner, ruecker and parisian</t>
  </si>
  <si>
    <t>fraud_mccullough llc</t>
  </si>
  <si>
    <t>fraud_dickinson-rempel</t>
  </si>
  <si>
    <t>fraud_bins-howell</t>
  </si>
  <si>
    <t>fraud_romaguera ltd</t>
  </si>
  <si>
    <t>fraud_heller plc</t>
  </si>
  <si>
    <t>fraud_maggio-fahey</t>
  </si>
  <si>
    <t>fraud_torphy-kertzmann</t>
  </si>
  <si>
    <t>fraud_turcotte, batz and buckridge</t>
  </si>
  <si>
    <t>fraud_mcdermott-rice</t>
  </si>
  <si>
    <t>fraud_turcotte-halvorson</t>
  </si>
  <si>
    <t>fraud_keeling-crist</t>
  </si>
  <si>
    <t>fraud_wiza llc</t>
  </si>
  <si>
    <t>fraud_buckridge plc</t>
  </si>
  <si>
    <t>fraud_towne llc</t>
  </si>
  <si>
    <t>fraud_torp-lemke</t>
  </si>
  <si>
    <t>fraud_dare-gibson</t>
  </si>
  <si>
    <t>fraud_wintheiser, dietrich and schimmel</t>
  </si>
  <si>
    <t>fraud_cruickshank-mills</t>
  </si>
  <si>
    <t>fraud_kautzer and sons</t>
  </si>
  <si>
    <t>fraud_hoppe, harris and bednar</t>
  </si>
  <si>
    <t>fraud_medhurst, cartwright and ebert</t>
  </si>
  <si>
    <t>fraud_schulist ltd</t>
  </si>
  <si>
    <t>fraud_feil, hilpert and koss</t>
  </si>
  <si>
    <t>fraud_kuhn group</t>
  </si>
  <si>
    <t>fraud_hermiston, russel and price</t>
  </si>
  <si>
    <t>fraud_beier llc</t>
  </si>
  <si>
    <t>fraud_hahn, bahringer and mclaughlin</t>
  </si>
  <si>
    <t>fraud_sporer-keebler</t>
  </si>
  <si>
    <t>fraud_dibbert-green</t>
  </si>
  <si>
    <t>fraud_spencer plc</t>
  </si>
  <si>
    <t>fraud_dare-marvin</t>
  </si>
  <si>
    <t>fraud_haag-blanda</t>
  </si>
  <si>
    <t>fraud_powlowski-weimann</t>
  </si>
  <si>
    <t>fraud_conroy-emard</t>
  </si>
  <si>
    <t>fraud_graham, hegmann and hammes</t>
  </si>
  <si>
    <t>fraud_effertz llc</t>
  </si>
  <si>
    <t>fraud_leffler-goldner</t>
  </si>
  <si>
    <t>fraud_parker-kunde</t>
  </si>
  <si>
    <t>fraud_bauch-blanda</t>
  </si>
  <si>
    <t>fraud_mante, luettgen and hackett</t>
  </si>
  <si>
    <t>fraud_schmeler-howe</t>
  </si>
  <si>
    <t>fraud_armstrong, walter and gottlieb</t>
  </si>
  <si>
    <t>fraud_larkin, stracke and greenfelder</t>
  </si>
  <si>
    <t>fraud_ernser-lynch</t>
  </si>
  <si>
    <t>fraud_cummerata-hilpert</t>
  </si>
  <si>
    <t>fraud_swaniawski, nitzsche and welch</t>
  </si>
  <si>
    <t>fraud_nader-maggio</t>
  </si>
  <si>
    <t>fraud_mueller, gerhold and mueller</t>
  </si>
  <si>
    <t>fraud_hintz, bauch and smith</t>
  </si>
  <si>
    <t>fraud_bechtelar-rippin</t>
  </si>
  <si>
    <t>fraud_lind-buckridge</t>
  </si>
  <si>
    <t>fraud_haley, batz and auer</t>
  </si>
  <si>
    <t>fraud_bahringer-streich</t>
  </si>
  <si>
    <t>fraud_runte, green and emard</t>
  </si>
  <si>
    <t>fraud_carroll plc</t>
  </si>
  <si>
    <t>fraud_monahan-morar</t>
  </si>
  <si>
    <t>fraud_runte-mohr</t>
  </si>
  <si>
    <t>fraud_johns-hoeger</t>
  </si>
  <si>
    <t>fraud_berge, kautzer and harris</t>
  </si>
  <si>
    <t>fraud_welch, rath and koepp</t>
  </si>
  <si>
    <t>fraud_brown-greenholt</t>
  </si>
  <si>
    <t>fraud_klein group</t>
  </si>
  <si>
    <t>fraud_kihn-fritsch</t>
  </si>
  <si>
    <t>fraud_dibbert and sons</t>
  </si>
  <si>
    <t>fraud_nienow, barrows and romaguera</t>
  </si>
  <si>
    <t>fraud_frami group</t>
  </si>
  <si>
    <t>fraud_zboncak llc</t>
  </si>
  <si>
    <t>fraud_bernhard-lesch</t>
  </si>
  <si>
    <t>fraud_kihn, brakus and goyette</t>
  </si>
  <si>
    <t>fraud_friesen-ortiz</t>
  </si>
  <si>
    <t>fraud_walter, hettinger and kessler</t>
  </si>
  <si>
    <t>fraud_o'hara-wilderman</t>
  </si>
  <si>
    <t>fraud_parker, nolan and trantow</t>
  </si>
  <si>
    <t>fraud_bartoletti and sons</t>
  </si>
  <si>
    <t>fraud_harris group</t>
  </si>
  <si>
    <t>fraud_upton plc</t>
  </si>
  <si>
    <t>fraud_morissette-schaefer</t>
  </si>
  <si>
    <t>fraud_crooks and sons</t>
  </si>
  <si>
    <t>fraud_donnelly llc</t>
  </si>
  <si>
    <t>fraud_abbott-rogahn</t>
  </si>
  <si>
    <t>fraud_weber, thiel and hammes</t>
  </si>
  <si>
    <t>fraud_metz, russel and metz</t>
  </si>
  <si>
    <t>fraud_jast-mcdermott</t>
  </si>
  <si>
    <t>fraud_fahey inc</t>
  </si>
  <si>
    <t>fraud_collier llc</t>
  </si>
  <si>
    <t>fraud_schmidt-larkin</t>
  </si>
  <si>
    <t>fraud_durgan, gislason and spencer</t>
  </si>
  <si>
    <t>fraud_berge-hills</t>
  </si>
  <si>
    <t>fraud_connelly-carter</t>
  </si>
  <si>
    <t>fraud_champlin-casper</t>
  </si>
  <si>
    <t>fraud_douglas, schneider and turner</t>
  </si>
  <si>
    <t>fraud_morissette plc</t>
  </si>
  <si>
    <t>fraud_rau-grant</t>
  </si>
  <si>
    <t>fraud_weimann-lockman</t>
  </si>
  <si>
    <t>fraud_ruecker-mayert</t>
  </si>
  <si>
    <t>fraud_pouros, walker and spencer</t>
  </si>
  <si>
    <t>fraud_lesch ltd</t>
  </si>
  <si>
    <t>fraud_gottlieb group</t>
  </si>
  <si>
    <t>fraud_ullrich ltd</t>
  </si>
  <si>
    <t>fraud_pacocha-weissnat</t>
  </si>
  <si>
    <t>fraud_lowe, dietrich and erdman</t>
  </si>
  <si>
    <t>fraud_gleason and sons</t>
  </si>
  <si>
    <t>fraud_cartwright plc</t>
  </si>
  <si>
    <t>fraud_crona and sons</t>
  </si>
  <si>
    <t>fraud_breitenberg-hermiston</t>
  </si>
  <si>
    <t>fraud_barton llc</t>
  </si>
  <si>
    <t>fraud_swift plc</t>
  </si>
  <si>
    <t>fraud_hauck, dietrich and funk</t>
  </si>
  <si>
    <t>fraud_schaefer, mcglynn and bosco</t>
  </si>
  <si>
    <t>fraud_raynor, feest and miller</t>
  </si>
  <si>
    <t>fraud_harris inc</t>
  </si>
  <si>
    <t>fraud_lind, huel and mcclure</t>
  </si>
  <si>
    <t>fraud_bartoletti-wunsch</t>
  </si>
  <si>
    <t>fraud_marks inc</t>
  </si>
  <si>
    <t>fraud_crist, jakubowski and littel</t>
  </si>
  <si>
    <t>fraud_witting, beer and ernser</t>
  </si>
  <si>
    <t>fraud_jakubowski inc</t>
  </si>
  <si>
    <t>fraud_white and sons</t>
  </si>
  <si>
    <t>fraud_ernser-feest</t>
  </si>
  <si>
    <t>fraud_hettinger, mccullough and fay</t>
  </si>
  <si>
    <t>fraud_kutch-wilderman</t>
  </si>
  <si>
    <t>fraud_quitzon-goyette</t>
  </si>
  <si>
    <t>fraud_stark-koss</t>
  </si>
  <si>
    <t>fraud_gislason group</t>
  </si>
  <si>
    <t>fraud_dickinson ltd</t>
  </si>
  <si>
    <t>fraud_kutch, hermiston and farrell</t>
  </si>
  <si>
    <t>fraud_altenwerth-kilback</t>
  </si>
  <si>
    <t>fraud_wuckert-goldner</t>
  </si>
  <si>
    <t>fraud_gulgowski llc</t>
  </si>
  <si>
    <t>fraud_streich ltd</t>
  </si>
  <si>
    <t>fraud_denesik, powlowski and pouros</t>
  </si>
  <si>
    <t>fraud_o'connell, botsford and hand</t>
  </si>
  <si>
    <t>fraud_o'connell-ullrich</t>
  </si>
  <si>
    <t>fraud_medhurst inc</t>
  </si>
  <si>
    <t>fraud_gutmann, mclaughlin and wiza</t>
  </si>
  <si>
    <t>fraud_moore, williamson and emmerich</t>
  </si>
  <si>
    <t>fraud_bode-rempel</t>
  </si>
  <si>
    <t>fraud_pollich llc</t>
  </si>
  <si>
    <t>fraud_gerhold llc</t>
  </si>
  <si>
    <t>fraud_goyette-gerhold</t>
  </si>
  <si>
    <t>fraud_prosacco, kreiger and kovacek</t>
  </si>
  <si>
    <t>fraud_padberg-sauer</t>
  </si>
  <si>
    <t>fraud_champlin and sons</t>
  </si>
  <si>
    <t>fraud_waelchi inc</t>
  </si>
  <si>
    <t>fraud_reilly llc</t>
  </si>
  <si>
    <t>fraud_windler llc</t>
  </si>
  <si>
    <t>fraud_daugherty llc</t>
  </si>
  <si>
    <t>fraud_romaguera, wehner and tromp</t>
  </si>
  <si>
    <t>fraud_metz-boehm</t>
  </si>
  <si>
    <t>fraud_schoen ltd</t>
  </si>
  <si>
    <t>fraud_hammes-beatty</t>
  </si>
  <si>
    <t>fraud_yost, schamberger and windler</t>
  </si>
  <si>
    <t>fraud_bogisich-weimann</t>
  </si>
  <si>
    <t>fraud_lang, towne and schuppe</t>
  </si>
  <si>
    <t>fraud_wilkinson plc</t>
  </si>
  <si>
    <t>fraud_waelchi-wolf</t>
  </si>
  <si>
    <t>fraud_larkin ltd</t>
  </si>
  <si>
    <t>fraud_thiel-thiel</t>
  </si>
  <si>
    <t>fraud_schiller ltd</t>
  </si>
  <si>
    <t>fraud_becker, harris and harvey</t>
  </si>
  <si>
    <t>fraud_runolfsdottir, mueller and hand</t>
  </si>
  <si>
    <t>fraud_abshire plc</t>
  </si>
  <si>
    <t>fraud_goldner-lemke</t>
  </si>
  <si>
    <t>fraud_larson-moen</t>
  </si>
  <si>
    <t>fraud_wilkinson llc</t>
  </si>
  <si>
    <t>fraud_nicolas, hills and mcglynn</t>
  </si>
  <si>
    <t>fraud_kihn-schuster</t>
  </si>
  <si>
    <t>fraud_schuppe llc</t>
  </si>
  <si>
    <t>fraud_turcotte, mckenzie and koss</t>
  </si>
  <si>
    <t>fraud_kutch, steuber and gerhold</t>
  </si>
  <si>
    <t>fraud_lesch, d'amore and brown</t>
  </si>
  <si>
    <t>fraud_volkman plc</t>
  </si>
  <si>
    <t>fraud_grimes llc</t>
  </si>
  <si>
    <t>fraud_fadel, mertz and rippin</t>
  </si>
  <si>
    <t>fraud_yost-rogahn</t>
  </si>
  <si>
    <t>fraud_padberg-rogahn</t>
  </si>
  <si>
    <t>fraud_schumm, mclaughlin and carter</t>
  </si>
  <si>
    <t>fraud_kling-ernser</t>
  </si>
  <si>
    <t>fraud_kuphal-toy</t>
  </si>
  <si>
    <t>fraud_reichel llc</t>
  </si>
  <si>
    <t>fraud_douglas-white</t>
  </si>
  <si>
    <t>fraud_deckow-dare</t>
  </si>
  <si>
    <t>fraud_kub plc</t>
  </si>
  <si>
    <t>fraud_mckenzie-huels</t>
  </si>
  <si>
    <t>fraud_johns inc</t>
  </si>
  <si>
    <t>fraud_jakubowski group</t>
  </si>
  <si>
    <t>fraud_labadie llc</t>
  </si>
  <si>
    <t>fraud_reinger, weissnat and strosin</t>
  </si>
  <si>
    <t>fraud_kilback group</t>
  </si>
  <si>
    <t>fraud_bradtke, torp and bahringer</t>
  </si>
  <si>
    <t>fraud_weber and sons</t>
  </si>
  <si>
    <t>fraud_abernathy and sons</t>
  </si>
  <si>
    <t>fraud_kub-heaney</t>
  </si>
  <si>
    <t>fraud_lubowitz, terry and stracke</t>
  </si>
  <si>
    <t>fraud_prosacco llc</t>
  </si>
  <si>
    <t>fraud_schaefer, fay and hilll</t>
  </si>
  <si>
    <t>fraud_mccullough, hudson and schuster</t>
  </si>
  <si>
    <t>fraud_schroeder group</t>
  </si>
  <si>
    <t>fraud_jast and sons</t>
  </si>
  <si>
    <t>fraud_dietrich-fadel</t>
  </si>
  <si>
    <t>fraud_graham and sons</t>
  </si>
  <si>
    <t>fraud_jacobi inc</t>
  </si>
  <si>
    <t>fraud_fritsch and sons</t>
  </si>
  <si>
    <t>fraud_hirthe-beier</t>
  </si>
  <si>
    <t>fraud_kulas group</t>
  </si>
  <si>
    <t>fraud_torp, muller and borer</t>
  </si>
  <si>
    <t>fraud_kertzmann llc</t>
  </si>
  <si>
    <t>fraud_rippin-vonrueden</t>
  </si>
  <si>
    <t>fraud_hermiston, pacocha and smith</t>
  </si>
  <si>
    <t>fraud_greenholt ltd</t>
  </si>
  <si>
    <t>fraud_brown, homenick and lesch</t>
  </si>
  <si>
    <t>fraud_bahringer group</t>
  </si>
  <si>
    <t>fraud_hermann-gaylord</t>
  </si>
  <si>
    <t>fraud_schmeler inc</t>
  </si>
  <si>
    <t>fraud_block group</t>
  </si>
  <si>
    <t>fraud_erdman-durgan</t>
  </si>
  <si>
    <t>fraud_kemmer-buckridge</t>
  </si>
  <si>
    <t>fraud_thiel plc</t>
  </si>
  <si>
    <t>fraud_cremin, hamill and reichel</t>
  </si>
  <si>
    <t>fraud_simonis-prohaska</t>
  </si>
  <si>
    <t>fraud_wiza, schaden and stark</t>
  </si>
  <si>
    <t>fraud_hamill-daugherty</t>
  </si>
  <si>
    <t>fraud_kutch-hegmann</t>
  </si>
  <si>
    <t>fraud_rutherford, homenick and bergstrom</t>
  </si>
  <si>
    <t>fraud_mccullough group</t>
  </si>
  <si>
    <t>fraud_trantow plc</t>
  </si>
  <si>
    <t>fraud_ortiz group</t>
  </si>
  <si>
    <t>fraud_pfeffer llc</t>
  </si>
  <si>
    <t>fraud_swaniawski, bahringer and ledner</t>
  </si>
  <si>
    <t>fraud_ebert-daugherty</t>
  </si>
  <si>
    <t>fraud_wiegand-lowe</t>
  </si>
  <si>
    <t>fraud_kling-grant</t>
  </si>
  <si>
    <t>fraud_reichel, bradtke and blanda</t>
  </si>
  <si>
    <t>fraud_paucek-wiza</t>
  </si>
  <si>
    <t>fraud_roob llc</t>
  </si>
  <si>
    <t>fraud_kemmer-reinger</t>
  </si>
  <si>
    <t>fraud_hackett group</t>
  </si>
  <si>
    <t>fraud_morar inc</t>
  </si>
  <si>
    <t>fraud_heller-abshire</t>
  </si>
  <si>
    <t>fraud_cummings group</t>
  </si>
  <si>
    <t>fraud_reichert-weissnat</t>
  </si>
  <si>
    <t>fraud_shields inc</t>
  </si>
  <si>
    <t>fraud_boyer-haley</t>
  </si>
  <si>
    <t>fraud_veum-koelpin</t>
  </si>
  <si>
    <t>fraud_smitham-boehm</t>
  </si>
  <si>
    <t>fraud_morissette, weber and wiegand</t>
  </si>
  <si>
    <t>fraud_goyette-herzog</t>
  </si>
  <si>
    <t>fraud_medhurst, labadie and gottlieb</t>
  </si>
  <si>
    <t>fraud_kunze, larkin and mayert</t>
  </si>
  <si>
    <t>fraud_kilback, nitzsche and leffler</t>
  </si>
  <si>
    <t>fraud_monahan, hermann and johns</t>
  </si>
  <si>
    <t>fraud_breitenberg llc</t>
  </si>
  <si>
    <t>fraud_hodkiewicz, prohaska and paucek</t>
  </si>
  <si>
    <t>fraud_champlin, rolfson and connelly</t>
  </si>
  <si>
    <t>fraud_turner llc</t>
  </si>
  <si>
    <t>fraud_kohler, lindgren and koelpin</t>
  </si>
  <si>
    <t>fraud_douglas, dubuque and mckenzie</t>
  </si>
  <si>
    <t>fraud_kessler inc</t>
  </si>
  <si>
    <t>fraud_treutel-king</t>
  </si>
  <si>
    <t>fraud_kessler group</t>
  </si>
  <si>
    <t>fraud_ritchie, bradtke and stiedemann</t>
  </si>
  <si>
    <t>fecha</t>
  </si>
  <si>
    <t>monto_total</t>
  </si>
  <si>
    <t>monto_fraude</t>
  </si>
  <si>
    <t>hora</t>
  </si>
  <si>
    <t>es_madrugada</t>
  </si>
  <si>
    <t>es_hora_pico</t>
  </si>
  <si>
    <t>estado_titular</t>
  </si>
  <si>
    <t>AK</t>
  </si>
  <si>
    <t>CT</t>
  </si>
  <si>
    <t>ID</t>
  </si>
  <si>
    <t>HI</t>
  </si>
  <si>
    <t>MT</t>
  </si>
  <si>
    <t>DC</t>
  </si>
  <si>
    <t>MS</t>
  </si>
  <si>
    <t>VA</t>
  </si>
  <si>
    <t>AZ</t>
  </si>
  <si>
    <t>IN</t>
  </si>
  <si>
    <t>NH</t>
  </si>
  <si>
    <t>NM</t>
  </si>
  <si>
    <t>OR</t>
  </si>
  <si>
    <t>MN</t>
  </si>
  <si>
    <t>IA</t>
  </si>
  <si>
    <t>WI</t>
  </si>
  <si>
    <t>NY</t>
  </si>
  <si>
    <t>KY</t>
  </si>
  <si>
    <t>GA</t>
  </si>
  <si>
    <t>OK</t>
  </si>
  <si>
    <t>MO</t>
  </si>
  <si>
    <t>MD</t>
  </si>
  <si>
    <t>ND</t>
  </si>
  <si>
    <t>NJ</t>
  </si>
  <si>
    <t>KS</t>
  </si>
  <si>
    <t>WA</t>
  </si>
  <si>
    <t>NC</t>
  </si>
  <si>
    <t>IL</t>
  </si>
  <si>
    <t>NE</t>
  </si>
  <si>
    <t>MA</t>
  </si>
  <si>
    <t>SC</t>
  </si>
  <si>
    <t>SD</t>
  </si>
  <si>
    <t>CA</t>
  </si>
  <si>
    <t>MI</t>
  </si>
  <si>
    <t>AL</t>
  </si>
  <si>
    <t>PA</t>
  </si>
  <si>
    <t>FL</t>
  </si>
  <si>
    <t>TX</t>
  </si>
  <si>
    <t>TN</t>
  </si>
  <si>
    <t>AR</t>
  </si>
  <si>
    <t>OH</t>
  </si>
  <si>
    <t>LA</t>
  </si>
  <si>
    <t>ME</t>
  </si>
  <si>
    <t>WY</t>
  </si>
  <si>
    <t>CO</t>
  </si>
  <si>
    <t>UT</t>
  </si>
  <si>
    <t>VT</t>
  </si>
  <si>
    <t>RI</t>
  </si>
  <si>
    <t>WV</t>
  </si>
  <si>
    <t>NV</t>
  </si>
  <si>
    <t>nombre_categoria</t>
  </si>
  <si>
    <t>monto_promedio</t>
  </si>
  <si>
    <t>shopping_net</t>
  </si>
  <si>
    <t>misc_net</t>
  </si>
  <si>
    <t>grocery_pos</t>
  </si>
  <si>
    <t>shopping_pos</t>
  </si>
  <si>
    <t>gas_transport</t>
  </si>
  <si>
    <t>travel</t>
  </si>
  <si>
    <t>misc_pos</t>
  </si>
  <si>
    <t>grocery_net</t>
  </si>
  <si>
    <t>personal_care</t>
  </si>
  <si>
    <t>entertainment</t>
  </si>
  <si>
    <t>food_dining</t>
  </si>
  <si>
    <t>health_fitness</t>
  </si>
  <si>
    <t>home</t>
  </si>
  <si>
    <t>kids_pets</t>
  </si>
  <si>
    <t>nombre_categoria,total_transacciones,monto_total,monto_promedio,total_fraudes,tasa_fraude_pct</t>
  </si>
  <si>
    <t>shopping_net,41779,3487779.99,83.48,506,1.21</t>
  </si>
  <si>
    <t>misc_net,27367,2151052.68,78.6,267,0.98</t>
  </si>
  <si>
    <t>grocery_pos,52553,6090121.59,115.89,485,0.92</t>
  </si>
  <si>
    <t>shopping_pos,49791,3827058.61,76.86,213,0.43</t>
  </si>
  <si>
    <t>gas_transport,56370,3583835.56,63.58,154,0.27</t>
  </si>
  <si>
    <t>travel,17449,1961087.57,112.39,40,0.23</t>
  </si>
  <si>
    <t>misc_pos,34574,2149888.97,62.18,72,0.21</t>
  </si>
  <si>
    <t>grocery_net,19426,1043791.37,53.73,41,0.21</t>
  </si>
  <si>
    <t>personal_care,39327,1896860.0,48.23,70,0.18</t>
  </si>
  <si>
    <t>entertainment,40104,2566048.02,63.98,59,0.15</t>
  </si>
  <si>
    <t>food_dining,39268,1993948.08,50.78,54,0.14</t>
  </si>
  <si>
    <t>health_fitness,36674,1975534.19,53.87,52,0.14</t>
  </si>
  <si>
    <t>home,52345,3035769.89,58.0,67,0.13</t>
  </si>
  <si>
    <t>kids_pets,48692,2800126.59,57.51,65,0.13</t>
  </si>
  <si>
    <t>Dashboard Fraud_detection</t>
  </si>
  <si>
    <t>Indicador</t>
  </si>
  <si>
    <t>Valor Databriks</t>
  </si>
  <si>
    <t>Valor Excel</t>
  </si>
  <si>
    <t xml:space="preserve">Diferencia </t>
  </si>
  <si>
    <t>Estado</t>
  </si>
  <si>
    <t>Toral Fraudes</t>
  </si>
  <si>
    <t>38.562.903</t>
  </si>
  <si>
    <t>1.133.325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</si>
</sst>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/d/yyyy"/>
  </numFmts>
  <fonts count="4" x14ac:knownFonts="1">
    <font>
      <sz val="11"/>
      <color theme="1"/>
      <name val="Aptos Narrow"/>
      <family val="2"/>
      <charset val="1"/>
    </font>
    <font>
      <b/>
      <sz val="16"/>
      <color rgb="FF1F1F1F"/>
      <name val="Arial"/>
      <charset val="1"/>
    </font>
    <font>
      <b/>
      <sz val="20"/>
      <color rgb="FF1F1F1F"/>
      <name val="Arial"/>
      <charset val="1"/>
    </font>
    <font>
      <sz val="10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rgb="FFFFFF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/>
    <xf numFmtId="165" fontId="0" fillId="0" borderId="0" xfId="0" applyNumberFormat="1" applyFont="1"/>
    <xf numFmtId="0" fontId="0" fillId="0" borderId="0" xfId="0" applyFont="1"/>
    <xf numFmtId="3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0" fontId="0" fillId="0" borderId="0" xfId="0" applyNumberFormat="1" applyFont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7A6923-5E50-4A38-B75E-935E58B871F2}" name="Tabla6" displayName="Tabla6" ref="C13:G18" totalsRowShown="0" headerRowDxfId="3" dataDxfId="4">
  <autoFilter ref="C13:G18" xr:uid="{007A6923-5E50-4A38-B75E-935E58B871F2}"/>
  <tableColumns count="5">
    <tableColumn id="1" xr3:uid="{226EE39C-91C7-4E6A-AC43-2D49CD276582}" name="Indicador" dataDxfId="6"/>
    <tableColumn id="2" xr3:uid="{71B93582-D146-43BF-82B0-538BBCD7EA97}" name="Valor Databriks" dataDxfId="5"/>
    <tableColumn id="3" xr3:uid="{41CE9B5C-D8FB-4F45-9438-86D7F0D16702}" name="Valor Excel" dataDxfId="2"/>
    <tableColumn id="4" xr3:uid="{B4813E29-D2D1-4496-BCEE-F1D35B8C30A2}" name="Diferencia " dataDxfId="0"/>
    <tableColumn id="5" xr3:uid="{3B8ADC64-FDBF-4C78-B2BA-DBB9995247EA}" name="Estado" dataDxfId="1">
      <calculatedColumnFormula>IF(F14=0,"✅ Coincide","⚠️ Revisar")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ranking_comercios_riesgo" displayName="ranking_comercios_riesgo" ref="A1:D694" totalsRowShown="0">
  <autoFilter ref="A1:D694" xr:uid="{00000000-0009-0000-0100-000005000000}"/>
  <tableColumns count="4">
    <tableColumn id="1" xr3:uid="{00000000-0010-0000-0000-000001000000}" name="nombre_comercio"/>
    <tableColumn id="2" xr3:uid="{00000000-0010-0000-0000-000002000000}" name="total_transacciones"/>
    <tableColumn id="3" xr3:uid="{00000000-0010-0000-0000-000003000000}" name="total_fraudes"/>
    <tableColumn id="4" xr3:uid="{00000000-0010-0000-0000-000004000000}" name="tasa_fraude_pc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kpi_resumen_diario" displayName="kpi_resumen_diario" ref="A1:E195" totalsRowShown="0">
  <autoFilter ref="A1:E195" xr:uid="{00000000-0009-0000-0100-000004000000}"/>
  <tableColumns count="5">
    <tableColumn id="1" xr3:uid="{00000000-0010-0000-0100-000001000000}" name="fecha"/>
    <tableColumn id="2" xr3:uid="{00000000-0010-0000-0100-000002000000}" name="total_transacciones"/>
    <tableColumn id="3" xr3:uid="{00000000-0010-0000-0100-000003000000}" name="monto_total"/>
    <tableColumn id="4" xr3:uid="{00000000-0010-0000-0100-000004000000}" name="total_fraudes"/>
    <tableColumn id="5" xr3:uid="{00000000-0010-0000-0100-000005000000}" name="tasa_fraude_pc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pi_fraude_por_horario" displayName="kpi_fraude_por_horario" ref="A1:F25" totalsRowShown="0">
  <autoFilter ref="A1:F25" xr:uid="{00000000-0009-0000-0100-000003000000}"/>
  <tableColumns count="6">
    <tableColumn id="1" xr3:uid="{00000000-0010-0000-0200-000001000000}" name="hora"/>
    <tableColumn id="2" xr3:uid="{00000000-0010-0000-0200-000002000000}" name="es_madrugada"/>
    <tableColumn id="3" xr3:uid="{00000000-0010-0000-0200-000003000000}" name="es_hora_pico"/>
    <tableColumn id="4" xr3:uid="{00000000-0010-0000-0200-000004000000}" name="total_transacciones"/>
    <tableColumn id="5" xr3:uid="{00000000-0010-0000-0200-000005000000}" name="total_fraudes"/>
    <tableColumn id="6" xr3:uid="{00000000-0010-0000-0200-000006000000}" name="tasa_fraude_pc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kpi_fraude_por_estado" displayName="kpi_fraude_por_estado" ref="A1:D51" totalsRowShown="0">
  <autoFilter ref="A1:D51" xr:uid="{00000000-0009-0000-0100-000002000000}"/>
  <tableColumns count="4">
    <tableColumn id="1" xr3:uid="{00000000-0010-0000-0300-000001000000}" name="estado_titular"/>
    <tableColumn id="2" xr3:uid="{00000000-0010-0000-0300-000002000000}" name="total_transacciones"/>
    <tableColumn id="3" xr3:uid="{00000000-0010-0000-0300-000003000000}" name="total_fraudes"/>
    <tableColumn id="4" xr3:uid="{00000000-0010-0000-0300-000004000000}" name="tasa_fraude_pc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kpi_fraude_por_categoria" displayName="kpi_fraude_por_categoria" ref="A1:F15" totalsRowShown="0">
  <autoFilter ref="A1:F15" xr:uid="{00000000-0009-0000-0100-000001000000}"/>
  <tableColumns count="6">
    <tableColumn id="1" xr3:uid="{00000000-0010-0000-0400-000001000000}" name="nombre_categoria"/>
    <tableColumn id="2" xr3:uid="{00000000-0010-0000-0400-000002000000}" name="total_transacciones"/>
    <tableColumn id="3" xr3:uid="{00000000-0010-0000-0400-000003000000}" name="monto_total"/>
    <tableColumn id="4" xr3:uid="{00000000-0010-0000-0400-000004000000}" name="monto_promedio"/>
    <tableColumn id="5" xr3:uid="{00000000-0010-0000-0400-000005000000}" name="total_fraudes"/>
    <tableColumn id="6" xr3:uid="{00000000-0010-0000-0400-000006000000}" name="tasa_fraude_p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8"/>
  <sheetViews>
    <sheetView showGridLines="0" tabSelected="1" zoomScaleNormal="100" workbookViewId="0">
      <selection activeCell="L13" sqref="L13"/>
    </sheetView>
  </sheetViews>
  <sheetFormatPr baseColWidth="10" defaultColWidth="8.5546875" defaultRowHeight="14.4" x14ac:dyDescent="0.3"/>
  <cols>
    <col min="1" max="2" width="9" style="1" customWidth="1"/>
    <col min="3" max="3" width="16.6640625" style="1" customWidth="1"/>
    <col min="4" max="4" width="15.6640625" style="1" customWidth="1"/>
    <col min="5" max="5" width="12" style="1" customWidth="1"/>
    <col min="6" max="6" width="9.5546875" style="1" customWidth="1"/>
    <col min="7" max="7" width="11.33203125" style="1" customWidth="1"/>
    <col min="8" max="23" width="9" style="1" customWidth="1"/>
  </cols>
  <sheetData>
    <row r="2" spans="2:20" ht="21" x14ac:dyDescent="0.4">
      <c r="B2" s="2" t="s">
        <v>790</v>
      </c>
    </row>
    <row r="4" spans="2:20" ht="24" customHeight="1" x14ac:dyDescent="0.3">
      <c r="B4" s="5">
        <f>SUM(kpi_resumen_diario!B2:B195)</f>
        <v>555719</v>
      </c>
      <c r="C4" s="5"/>
      <c r="D4" s="5"/>
      <c r="F4" s="5">
        <f>SUM(kpi_resumen_diario!D2:D195)</f>
        <v>2145</v>
      </c>
      <c r="G4" s="5"/>
      <c r="H4" s="5"/>
      <c r="J4" s="7">
        <f>SUM(kpi_resumen_diario!C2:C195)</f>
        <v>38562903.109999999</v>
      </c>
      <c r="K4" s="7"/>
      <c r="L4" s="7"/>
      <c r="N4" s="7">
        <f>SUM(kpi_resumen_diario!F2:F195)</f>
        <v>1133324.68</v>
      </c>
      <c r="O4" s="7"/>
      <c r="P4" s="7"/>
      <c r="R4" s="8">
        <f>F4/B4</f>
        <v>3.8598644278853163E-3</v>
      </c>
      <c r="S4" s="8"/>
      <c r="T4" s="8"/>
    </row>
    <row r="5" spans="2:20" ht="9.75" customHeight="1" x14ac:dyDescent="0.3">
      <c r="B5" s="5"/>
      <c r="C5" s="5"/>
      <c r="D5" s="5"/>
      <c r="F5" s="5"/>
      <c r="G5" s="5"/>
      <c r="H5" s="5"/>
      <c r="J5" s="7"/>
      <c r="K5" s="7"/>
      <c r="L5" s="7"/>
      <c r="N5" s="7"/>
      <c r="O5" s="7"/>
      <c r="P5" s="7"/>
      <c r="R5" s="8"/>
      <c r="S5" s="8"/>
      <c r="T5" s="8"/>
    </row>
    <row r="6" spans="2:20" x14ac:dyDescent="0.3">
      <c r="B6" s="6" t="s">
        <v>0</v>
      </c>
      <c r="C6" s="6"/>
      <c r="D6" s="6"/>
      <c r="F6" s="6" t="s">
        <v>1</v>
      </c>
      <c r="G6" s="6"/>
      <c r="H6" s="6"/>
      <c r="J6" s="6" t="s">
        <v>2</v>
      </c>
      <c r="K6" s="6"/>
      <c r="L6" s="6"/>
      <c r="N6" s="6" t="s">
        <v>3</v>
      </c>
      <c r="O6" s="6"/>
      <c r="P6" s="6"/>
      <c r="R6" s="6" t="s">
        <v>4</v>
      </c>
      <c r="S6" s="6"/>
      <c r="T6" s="6"/>
    </row>
    <row r="7" spans="2:20" x14ac:dyDescent="0.3">
      <c r="B7" s="6"/>
      <c r="C7" s="6"/>
      <c r="D7" s="6"/>
      <c r="F7" s="6"/>
      <c r="G7" s="6"/>
      <c r="H7" s="6"/>
      <c r="J7" s="6"/>
      <c r="K7" s="6"/>
      <c r="L7" s="6"/>
      <c r="N7" s="6"/>
      <c r="O7" s="6"/>
      <c r="P7" s="6"/>
      <c r="R7" s="6"/>
      <c r="S7" s="6"/>
      <c r="T7" s="6"/>
    </row>
    <row r="13" spans="2:20" x14ac:dyDescent="0.3">
      <c r="C13" s="1" t="s">
        <v>791</v>
      </c>
      <c r="D13" s="1" t="s">
        <v>792</v>
      </c>
      <c r="E13" s="1" t="s">
        <v>793</v>
      </c>
      <c r="F13" s="4" t="s">
        <v>794</v>
      </c>
      <c r="G13" s="4" t="s">
        <v>795</v>
      </c>
    </row>
    <row r="14" spans="2:20" x14ac:dyDescent="0.3">
      <c r="C14" s="1" t="s">
        <v>0</v>
      </c>
      <c r="D14" s="9">
        <v>555.71900000000005</v>
      </c>
      <c r="E14" s="9">
        <v>555.71900000000005</v>
      </c>
      <c r="F14" s="9">
        <v>0</v>
      </c>
      <c r="G14" s="1" t="str">
        <f>IF(F14=0,"✅ Coincide","⚠️ Revisar")</f>
        <v>✅ Coincide</v>
      </c>
    </row>
    <row r="15" spans="2:20" x14ac:dyDescent="0.3">
      <c r="C15" s="1" t="s">
        <v>796</v>
      </c>
      <c r="D15" s="9">
        <v>2.145</v>
      </c>
      <c r="E15" s="9">
        <v>2.145</v>
      </c>
      <c r="F15" s="9">
        <v>0</v>
      </c>
      <c r="G15" s="4" t="str">
        <f t="shared" ref="G15:G18" si="0">IF(F15=0,"✅ Coincide","⚠️ Revisar")</f>
        <v>✅ Coincide</v>
      </c>
    </row>
    <row r="16" spans="2:20" x14ac:dyDescent="0.3">
      <c r="C16" s="4" t="s">
        <v>2</v>
      </c>
      <c r="D16" s="9" t="s">
        <v>797</v>
      </c>
      <c r="E16" s="9" t="s">
        <v>797</v>
      </c>
      <c r="F16" s="9">
        <v>0</v>
      </c>
      <c r="G16" s="4" t="str">
        <f t="shared" si="0"/>
        <v>✅ Coincide</v>
      </c>
    </row>
    <row r="17" spans="3:7" x14ac:dyDescent="0.3">
      <c r="C17" s="4" t="s">
        <v>3</v>
      </c>
      <c r="D17" s="9" t="s">
        <v>798</v>
      </c>
      <c r="E17" s="9" t="s">
        <v>798</v>
      </c>
      <c r="F17" s="9">
        <v>0</v>
      </c>
      <c r="G17" s="4" t="str">
        <f t="shared" si="0"/>
        <v>✅ Coincide</v>
      </c>
    </row>
    <row r="18" spans="3:7" x14ac:dyDescent="0.3">
      <c r="C18" s="4" t="s">
        <v>4</v>
      </c>
      <c r="D18" s="10">
        <v>3.8999999999999998E-3</v>
      </c>
      <c r="E18" s="10">
        <v>3.8999999999999998E-3</v>
      </c>
      <c r="F18" s="9">
        <v>0</v>
      </c>
      <c r="G18" s="4" t="str">
        <f t="shared" si="0"/>
        <v>✅ Coincide</v>
      </c>
    </row>
  </sheetData>
  <mergeCells count="10">
    <mergeCell ref="B6:D7"/>
    <mergeCell ref="F6:H7"/>
    <mergeCell ref="J6:L7"/>
    <mergeCell ref="N6:P7"/>
    <mergeCell ref="R6:T7"/>
    <mergeCell ref="B4:D5"/>
    <mergeCell ref="F4:H5"/>
    <mergeCell ref="J4:L5"/>
    <mergeCell ref="N4:P5"/>
    <mergeCell ref="R4:T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4"/>
  <sheetViews>
    <sheetView zoomScaleNormal="100" workbookViewId="0"/>
  </sheetViews>
  <sheetFormatPr baseColWidth="10" defaultColWidth="10.5546875" defaultRowHeight="14.4" x14ac:dyDescent="0.3"/>
  <cols>
    <col min="1" max="1" width="41.44140625" style="1" customWidth="1"/>
    <col min="2" max="2" width="21" style="1" customWidth="1"/>
    <col min="3" max="3" width="15.109375" style="1" customWidth="1"/>
    <col min="4" max="4" width="17.44140625" style="1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 s="1" t="s">
        <v>9</v>
      </c>
      <c r="B2" s="1">
        <v>828</v>
      </c>
      <c r="C2" s="1">
        <v>18</v>
      </c>
      <c r="D2" s="1">
        <v>2.17</v>
      </c>
    </row>
    <row r="3" spans="1:4" x14ac:dyDescent="0.3">
      <c r="A3" s="1" t="s">
        <v>10</v>
      </c>
      <c r="B3" s="1">
        <v>837</v>
      </c>
      <c r="C3" s="1">
        <v>18</v>
      </c>
      <c r="D3" s="1">
        <v>2.15</v>
      </c>
    </row>
    <row r="4" spans="1:4" x14ac:dyDescent="0.3">
      <c r="A4" s="1" t="s">
        <v>11</v>
      </c>
      <c r="B4" s="1">
        <v>870</v>
      </c>
      <c r="C4" s="1">
        <v>18</v>
      </c>
      <c r="D4" s="1">
        <v>2.0699999999999998</v>
      </c>
    </row>
    <row r="5" spans="1:4" x14ac:dyDescent="0.3">
      <c r="A5" s="1" t="s">
        <v>12</v>
      </c>
      <c r="B5" s="1">
        <v>830</v>
      </c>
      <c r="C5" s="1">
        <v>17</v>
      </c>
      <c r="D5" s="1">
        <v>2.0499999999999998</v>
      </c>
    </row>
    <row r="6" spans="1:4" x14ac:dyDescent="0.3">
      <c r="A6" s="1" t="s">
        <v>13</v>
      </c>
      <c r="B6" s="1">
        <v>501</v>
      </c>
      <c r="C6" s="1">
        <v>10</v>
      </c>
      <c r="D6" s="1">
        <v>2</v>
      </c>
    </row>
    <row r="7" spans="1:4" x14ac:dyDescent="0.3">
      <c r="A7" s="1" t="s">
        <v>14</v>
      </c>
      <c r="B7" s="1">
        <v>772</v>
      </c>
      <c r="C7" s="1">
        <v>15</v>
      </c>
      <c r="D7" s="1">
        <v>1.94</v>
      </c>
    </row>
    <row r="8" spans="1:4" x14ac:dyDescent="0.3">
      <c r="A8" s="1" t="s">
        <v>15</v>
      </c>
      <c r="B8" s="1">
        <v>790</v>
      </c>
      <c r="C8" s="1">
        <v>15</v>
      </c>
      <c r="D8" s="1">
        <v>1.9</v>
      </c>
    </row>
    <row r="9" spans="1:4" x14ac:dyDescent="0.3">
      <c r="A9" s="1" t="s">
        <v>16</v>
      </c>
      <c r="B9" s="1">
        <v>528</v>
      </c>
      <c r="C9" s="1">
        <v>10</v>
      </c>
      <c r="D9" s="1">
        <v>1.89</v>
      </c>
    </row>
    <row r="10" spans="1:4" x14ac:dyDescent="0.3">
      <c r="A10" s="1" t="s">
        <v>17</v>
      </c>
      <c r="B10" s="1">
        <v>802</v>
      </c>
      <c r="C10" s="1">
        <v>15</v>
      </c>
      <c r="D10" s="1">
        <v>1.87</v>
      </c>
    </row>
    <row r="11" spans="1:4" x14ac:dyDescent="0.3">
      <c r="A11" s="1" t="s">
        <v>18</v>
      </c>
      <c r="B11" s="1">
        <v>540</v>
      </c>
      <c r="C11" s="1">
        <v>10</v>
      </c>
      <c r="D11" s="1">
        <v>1.85</v>
      </c>
    </row>
    <row r="12" spans="1:4" x14ac:dyDescent="0.3">
      <c r="A12" s="1" t="s">
        <v>19</v>
      </c>
      <c r="B12" s="1">
        <v>574</v>
      </c>
      <c r="C12" s="1">
        <v>10</v>
      </c>
      <c r="D12" s="1">
        <v>1.74</v>
      </c>
    </row>
    <row r="13" spans="1:4" x14ac:dyDescent="0.3">
      <c r="A13" s="1" t="s">
        <v>20</v>
      </c>
      <c r="B13" s="1">
        <v>989</v>
      </c>
      <c r="C13" s="1">
        <v>17</v>
      </c>
      <c r="D13" s="1">
        <v>1.72</v>
      </c>
    </row>
    <row r="14" spans="1:4" x14ac:dyDescent="0.3">
      <c r="A14" s="1" t="s">
        <v>21</v>
      </c>
      <c r="B14" s="1">
        <v>535</v>
      </c>
      <c r="C14" s="1">
        <v>9</v>
      </c>
      <c r="D14" s="1">
        <v>1.68</v>
      </c>
    </row>
    <row r="15" spans="1:4" x14ac:dyDescent="0.3">
      <c r="A15" s="1" t="s">
        <v>22</v>
      </c>
      <c r="B15" s="1">
        <v>535</v>
      </c>
      <c r="C15" s="1">
        <v>9</v>
      </c>
      <c r="D15" s="1">
        <v>1.68</v>
      </c>
    </row>
    <row r="16" spans="1:4" x14ac:dyDescent="0.3">
      <c r="A16" s="1" t="s">
        <v>23</v>
      </c>
      <c r="B16" s="1">
        <v>851</v>
      </c>
      <c r="C16" s="1">
        <v>14</v>
      </c>
      <c r="D16" s="1">
        <v>1.65</v>
      </c>
    </row>
    <row r="17" spans="1:4" x14ac:dyDescent="0.3">
      <c r="A17" s="1" t="s">
        <v>24</v>
      </c>
      <c r="B17" s="1">
        <v>857</v>
      </c>
      <c r="C17" s="1">
        <v>14</v>
      </c>
      <c r="D17" s="1">
        <v>1.63</v>
      </c>
    </row>
    <row r="18" spans="1:4" x14ac:dyDescent="0.3">
      <c r="A18" s="1" t="s">
        <v>25</v>
      </c>
      <c r="B18" s="1">
        <v>513</v>
      </c>
      <c r="C18" s="1">
        <v>8</v>
      </c>
      <c r="D18" s="1">
        <v>1.56</v>
      </c>
    </row>
    <row r="19" spans="1:4" x14ac:dyDescent="0.3">
      <c r="A19" s="1" t="s">
        <v>26</v>
      </c>
      <c r="B19" s="1">
        <v>848</v>
      </c>
      <c r="C19" s="1">
        <v>13</v>
      </c>
      <c r="D19" s="1">
        <v>1.53</v>
      </c>
    </row>
    <row r="20" spans="1:4" x14ac:dyDescent="0.3">
      <c r="A20" s="1" t="s">
        <v>27</v>
      </c>
      <c r="B20" s="1">
        <v>868</v>
      </c>
      <c r="C20" s="1">
        <v>13</v>
      </c>
      <c r="D20" s="1">
        <v>1.5</v>
      </c>
    </row>
    <row r="21" spans="1:4" x14ac:dyDescent="0.3">
      <c r="A21" s="1" t="s">
        <v>28</v>
      </c>
      <c r="B21" s="1">
        <v>871</v>
      </c>
      <c r="C21" s="1">
        <v>13</v>
      </c>
      <c r="D21" s="1">
        <v>1.49</v>
      </c>
    </row>
    <row r="22" spans="1:4" x14ac:dyDescent="0.3">
      <c r="A22" s="1" t="s">
        <v>29</v>
      </c>
      <c r="B22" s="1">
        <v>906</v>
      </c>
      <c r="C22" s="1">
        <v>13</v>
      </c>
      <c r="D22" s="1">
        <v>1.43</v>
      </c>
    </row>
    <row r="23" spans="1:4" x14ac:dyDescent="0.3">
      <c r="A23" s="1" t="s">
        <v>30</v>
      </c>
      <c r="B23" s="1">
        <v>558</v>
      </c>
      <c r="C23" s="1">
        <v>8</v>
      </c>
      <c r="D23" s="1">
        <v>1.43</v>
      </c>
    </row>
    <row r="24" spans="1:4" x14ac:dyDescent="0.3">
      <c r="A24" s="1" t="s">
        <v>31</v>
      </c>
      <c r="B24" s="1">
        <v>1070</v>
      </c>
      <c r="C24" s="1">
        <v>15</v>
      </c>
      <c r="D24" s="1">
        <v>1.4</v>
      </c>
    </row>
    <row r="25" spans="1:4" x14ac:dyDescent="0.3">
      <c r="A25" s="1" t="s">
        <v>32</v>
      </c>
      <c r="B25" s="1">
        <v>857</v>
      </c>
      <c r="C25" s="1">
        <v>12</v>
      </c>
      <c r="D25" s="1">
        <v>1.4</v>
      </c>
    </row>
    <row r="26" spans="1:4" x14ac:dyDescent="0.3">
      <c r="A26" s="1" t="s">
        <v>33</v>
      </c>
      <c r="B26" s="1">
        <v>1013</v>
      </c>
      <c r="C26" s="1">
        <v>14</v>
      </c>
      <c r="D26" s="1">
        <v>1.38</v>
      </c>
    </row>
    <row r="27" spans="1:4" x14ac:dyDescent="0.3">
      <c r="A27" s="1" t="s">
        <v>34</v>
      </c>
      <c r="B27" s="1">
        <v>892</v>
      </c>
      <c r="C27" s="1">
        <v>12</v>
      </c>
      <c r="D27" s="1">
        <v>1.35</v>
      </c>
    </row>
    <row r="28" spans="1:4" x14ac:dyDescent="0.3">
      <c r="A28" s="1" t="s">
        <v>35</v>
      </c>
      <c r="B28" s="1">
        <v>820</v>
      </c>
      <c r="C28" s="1">
        <v>11</v>
      </c>
      <c r="D28" s="1">
        <v>1.34</v>
      </c>
    </row>
    <row r="29" spans="1:4" x14ac:dyDescent="0.3">
      <c r="A29" s="1" t="s">
        <v>36</v>
      </c>
      <c r="B29" s="1">
        <v>837</v>
      </c>
      <c r="C29" s="1">
        <v>11</v>
      </c>
      <c r="D29" s="1">
        <v>1.31</v>
      </c>
    </row>
    <row r="30" spans="1:4" x14ac:dyDescent="0.3">
      <c r="A30" s="1" t="s">
        <v>37</v>
      </c>
      <c r="B30" s="1">
        <v>535</v>
      </c>
      <c r="C30" s="1">
        <v>7</v>
      </c>
      <c r="D30" s="1">
        <v>1.31</v>
      </c>
    </row>
    <row r="31" spans="1:4" x14ac:dyDescent="0.3">
      <c r="A31" s="1" t="s">
        <v>38</v>
      </c>
      <c r="B31" s="1">
        <v>846</v>
      </c>
      <c r="C31" s="1">
        <v>11</v>
      </c>
      <c r="D31" s="1">
        <v>1.3</v>
      </c>
    </row>
    <row r="32" spans="1:4" x14ac:dyDescent="0.3">
      <c r="A32" s="1" t="s">
        <v>39</v>
      </c>
      <c r="B32" s="1">
        <v>850</v>
      </c>
      <c r="C32" s="1">
        <v>11</v>
      </c>
      <c r="D32" s="1">
        <v>1.29</v>
      </c>
    </row>
    <row r="33" spans="1:4" x14ac:dyDescent="0.3">
      <c r="A33" s="1" t="s">
        <v>40</v>
      </c>
      <c r="B33" s="1">
        <v>1015</v>
      </c>
      <c r="C33" s="1">
        <v>13</v>
      </c>
      <c r="D33" s="1">
        <v>1.28</v>
      </c>
    </row>
    <row r="34" spans="1:4" x14ac:dyDescent="0.3">
      <c r="A34" s="1" t="s">
        <v>41</v>
      </c>
      <c r="B34" s="1">
        <v>546</v>
      </c>
      <c r="C34" s="1">
        <v>7</v>
      </c>
      <c r="D34" s="1">
        <v>1.28</v>
      </c>
    </row>
    <row r="35" spans="1:4" x14ac:dyDescent="0.3">
      <c r="A35" s="1" t="s">
        <v>42</v>
      </c>
      <c r="B35" s="1">
        <v>873</v>
      </c>
      <c r="C35" s="1">
        <v>11</v>
      </c>
      <c r="D35" s="1">
        <v>1.26</v>
      </c>
    </row>
    <row r="36" spans="1:4" x14ac:dyDescent="0.3">
      <c r="A36" s="1" t="s">
        <v>43</v>
      </c>
      <c r="B36" s="1">
        <v>1120</v>
      </c>
      <c r="C36" s="1">
        <v>14</v>
      </c>
      <c r="D36" s="1">
        <v>1.25</v>
      </c>
    </row>
    <row r="37" spans="1:4" x14ac:dyDescent="0.3">
      <c r="A37" s="1" t="s">
        <v>44</v>
      </c>
      <c r="B37" s="1">
        <v>808</v>
      </c>
      <c r="C37" s="1">
        <v>10</v>
      </c>
      <c r="D37" s="1">
        <v>1.24</v>
      </c>
    </row>
    <row r="38" spans="1:4" x14ac:dyDescent="0.3">
      <c r="A38" s="1" t="s">
        <v>45</v>
      </c>
      <c r="B38" s="1">
        <v>563</v>
      </c>
      <c r="C38" s="1">
        <v>7</v>
      </c>
      <c r="D38" s="1">
        <v>1.24</v>
      </c>
    </row>
    <row r="39" spans="1:4" x14ac:dyDescent="0.3">
      <c r="A39" s="1" t="s">
        <v>46</v>
      </c>
      <c r="B39" s="1">
        <v>570</v>
      </c>
      <c r="C39" s="1">
        <v>7</v>
      </c>
      <c r="D39" s="1">
        <v>1.23</v>
      </c>
    </row>
    <row r="40" spans="1:4" x14ac:dyDescent="0.3">
      <c r="A40" s="1" t="s">
        <v>47</v>
      </c>
      <c r="B40" s="1">
        <v>1077</v>
      </c>
      <c r="C40" s="1">
        <v>13</v>
      </c>
      <c r="D40" s="1">
        <v>1.21</v>
      </c>
    </row>
    <row r="41" spans="1:4" x14ac:dyDescent="0.3">
      <c r="A41" s="1" t="s">
        <v>48</v>
      </c>
      <c r="B41" s="1">
        <v>1074</v>
      </c>
      <c r="C41" s="1">
        <v>13</v>
      </c>
      <c r="D41" s="1">
        <v>1.21</v>
      </c>
    </row>
    <row r="42" spans="1:4" x14ac:dyDescent="0.3">
      <c r="A42" s="1" t="s">
        <v>49</v>
      </c>
      <c r="B42" s="1">
        <v>578</v>
      </c>
      <c r="C42" s="1">
        <v>7</v>
      </c>
      <c r="D42" s="1">
        <v>1.21</v>
      </c>
    </row>
    <row r="43" spans="1:4" x14ac:dyDescent="0.3">
      <c r="A43" s="1" t="s">
        <v>50</v>
      </c>
      <c r="B43" s="1">
        <v>998</v>
      </c>
      <c r="C43" s="1">
        <v>12</v>
      </c>
      <c r="D43" s="1">
        <v>1.2</v>
      </c>
    </row>
    <row r="44" spans="1:4" x14ac:dyDescent="0.3">
      <c r="A44" s="1" t="s">
        <v>51</v>
      </c>
      <c r="B44" s="1">
        <v>501</v>
      </c>
      <c r="C44" s="1">
        <v>6</v>
      </c>
      <c r="D44" s="1">
        <v>1.2</v>
      </c>
    </row>
    <row r="45" spans="1:4" x14ac:dyDescent="0.3">
      <c r="A45" s="1" t="s">
        <v>52</v>
      </c>
      <c r="B45" s="1">
        <v>498</v>
      </c>
      <c r="C45" s="1">
        <v>6</v>
      </c>
      <c r="D45" s="1">
        <v>1.2</v>
      </c>
    </row>
    <row r="46" spans="1:4" x14ac:dyDescent="0.3">
      <c r="A46" s="1" t="s">
        <v>53</v>
      </c>
      <c r="B46" s="1">
        <v>1092</v>
      </c>
      <c r="C46" s="1">
        <v>13</v>
      </c>
      <c r="D46" s="1">
        <v>1.19</v>
      </c>
    </row>
    <row r="47" spans="1:4" x14ac:dyDescent="0.3">
      <c r="A47" s="1" t="s">
        <v>54</v>
      </c>
      <c r="B47" s="1">
        <v>1105</v>
      </c>
      <c r="C47" s="1">
        <v>13</v>
      </c>
      <c r="D47" s="1">
        <v>1.18</v>
      </c>
    </row>
    <row r="48" spans="1:4" x14ac:dyDescent="0.3">
      <c r="A48" s="1" t="s">
        <v>55</v>
      </c>
      <c r="B48" s="1">
        <v>591</v>
      </c>
      <c r="C48" s="1">
        <v>7</v>
      </c>
      <c r="D48" s="1">
        <v>1.18</v>
      </c>
    </row>
    <row r="49" spans="1:4" x14ac:dyDescent="0.3">
      <c r="A49" s="1" t="s">
        <v>56</v>
      </c>
      <c r="B49" s="1">
        <v>518</v>
      </c>
      <c r="C49" s="1">
        <v>6</v>
      </c>
      <c r="D49" s="1">
        <v>1.1599999999999999</v>
      </c>
    </row>
    <row r="50" spans="1:4" x14ac:dyDescent="0.3">
      <c r="A50" s="1" t="s">
        <v>57</v>
      </c>
      <c r="B50" s="1">
        <v>787</v>
      </c>
      <c r="C50" s="1">
        <v>9</v>
      </c>
      <c r="D50" s="1">
        <v>1.1399999999999999</v>
      </c>
    </row>
    <row r="51" spans="1:4" x14ac:dyDescent="0.3">
      <c r="A51" s="1" t="s">
        <v>58</v>
      </c>
      <c r="B51" s="1">
        <v>527</v>
      </c>
      <c r="C51" s="1">
        <v>6</v>
      </c>
      <c r="D51" s="1">
        <v>1.1399999999999999</v>
      </c>
    </row>
    <row r="52" spans="1:4" x14ac:dyDescent="0.3">
      <c r="A52" s="1" t="s">
        <v>59</v>
      </c>
      <c r="B52" s="1">
        <v>797</v>
      </c>
      <c r="C52" s="1">
        <v>9</v>
      </c>
      <c r="D52" s="1">
        <v>1.1299999999999999</v>
      </c>
    </row>
    <row r="53" spans="1:4" x14ac:dyDescent="0.3">
      <c r="A53" s="1" t="s">
        <v>60</v>
      </c>
      <c r="B53" s="1">
        <v>793</v>
      </c>
      <c r="C53" s="1">
        <v>9</v>
      </c>
      <c r="D53" s="1">
        <v>1.1299999999999999</v>
      </c>
    </row>
    <row r="54" spans="1:4" x14ac:dyDescent="0.3">
      <c r="A54" s="1" t="s">
        <v>61</v>
      </c>
      <c r="B54" s="1">
        <v>804</v>
      </c>
      <c r="C54" s="1">
        <v>9</v>
      </c>
      <c r="D54" s="1">
        <v>1.1200000000000001</v>
      </c>
    </row>
    <row r="55" spans="1:4" x14ac:dyDescent="0.3">
      <c r="A55" s="1" t="s">
        <v>62</v>
      </c>
      <c r="B55" s="1">
        <v>535</v>
      </c>
      <c r="C55" s="1">
        <v>6</v>
      </c>
      <c r="D55" s="1">
        <v>1.1200000000000001</v>
      </c>
    </row>
    <row r="56" spans="1:4" x14ac:dyDescent="0.3">
      <c r="A56" s="1" t="s">
        <v>63</v>
      </c>
      <c r="B56" s="1">
        <v>1077</v>
      </c>
      <c r="C56" s="1">
        <v>12</v>
      </c>
      <c r="D56" s="1">
        <v>1.1100000000000001</v>
      </c>
    </row>
    <row r="57" spans="1:4" x14ac:dyDescent="0.3">
      <c r="A57" s="1" t="s">
        <v>64</v>
      </c>
      <c r="B57" s="1">
        <v>558</v>
      </c>
      <c r="C57" s="1">
        <v>6</v>
      </c>
      <c r="D57" s="1">
        <v>1.08</v>
      </c>
    </row>
    <row r="58" spans="1:4" x14ac:dyDescent="0.3">
      <c r="A58" s="1" t="s">
        <v>65</v>
      </c>
      <c r="B58" s="1">
        <v>842</v>
      </c>
      <c r="C58" s="1">
        <v>9</v>
      </c>
      <c r="D58" s="1">
        <v>1.07</v>
      </c>
    </row>
    <row r="59" spans="1:4" x14ac:dyDescent="0.3">
      <c r="A59" s="1" t="s">
        <v>66</v>
      </c>
      <c r="B59" s="1">
        <v>1035</v>
      </c>
      <c r="C59" s="1">
        <v>11</v>
      </c>
      <c r="D59" s="1">
        <v>1.06</v>
      </c>
    </row>
    <row r="60" spans="1:4" x14ac:dyDescent="0.3">
      <c r="A60" s="1" t="s">
        <v>67</v>
      </c>
      <c r="B60" s="1">
        <v>944</v>
      </c>
      <c r="C60" s="1">
        <v>10</v>
      </c>
      <c r="D60" s="1">
        <v>1.06</v>
      </c>
    </row>
    <row r="61" spans="1:4" x14ac:dyDescent="0.3">
      <c r="A61" s="1" t="s">
        <v>68</v>
      </c>
      <c r="B61" s="1">
        <v>847</v>
      </c>
      <c r="C61" s="1">
        <v>9</v>
      </c>
      <c r="D61" s="1">
        <v>1.06</v>
      </c>
    </row>
    <row r="62" spans="1:4" x14ac:dyDescent="0.3">
      <c r="A62" s="1" t="s">
        <v>69</v>
      </c>
      <c r="B62" s="1">
        <v>1052</v>
      </c>
      <c r="C62" s="1">
        <v>11</v>
      </c>
      <c r="D62" s="1">
        <v>1.05</v>
      </c>
    </row>
    <row r="63" spans="1:4" x14ac:dyDescent="0.3">
      <c r="A63" s="1" t="s">
        <v>70</v>
      </c>
      <c r="B63" s="1">
        <v>1056</v>
      </c>
      <c r="C63" s="1">
        <v>11</v>
      </c>
      <c r="D63" s="1">
        <v>1.04</v>
      </c>
    </row>
    <row r="64" spans="1:4" x14ac:dyDescent="0.3">
      <c r="A64" s="1" t="s">
        <v>71</v>
      </c>
      <c r="B64" s="1">
        <v>584</v>
      </c>
      <c r="C64" s="1">
        <v>6</v>
      </c>
      <c r="D64" s="1">
        <v>1.03</v>
      </c>
    </row>
    <row r="65" spans="1:4" x14ac:dyDescent="0.3">
      <c r="A65" s="1" t="s">
        <v>72</v>
      </c>
      <c r="B65" s="1">
        <v>883</v>
      </c>
      <c r="C65" s="1">
        <v>9</v>
      </c>
      <c r="D65" s="1">
        <v>1.02</v>
      </c>
    </row>
    <row r="66" spans="1:4" x14ac:dyDescent="0.3">
      <c r="A66" s="1" t="s">
        <v>73</v>
      </c>
      <c r="B66" s="1">
        <v>1094</v>
      </c>
      <c r="C66" s="1">
        <v>11</v>
      </c>
      <c r="D66" s="1">
        <v>1.01</v>
      </c>
    </row>
    <row r="67" spans="1:4" x14ac:dyDescent="0.3">
      <c r="A67" s="1" t="s">
        <v>74</v>
      </c>
      <c r="B67" s="1">
        <v>1093</v>
      </c>
      <c r="C67" s="1">
        <v>11</v>
      </c>
      <c r="D67" s="1">
        <v>1.01</v>
      </c>
    </row>
    <row r="68" spans="1:4" x14ac:dyDescent="0.3">
      <c r="A68" s="1" t="s">
        <v>75</v>
      </c>
      <c r="B68" s="1">
        <v>1088</v>
      </c>
      <c r="C68" s="1">
        <v>11</v>
      </c>
      <c r="D68" s="1">
        <v>1.01</v>
      </c>
    </row>
    <row r="69" spans="1:4" x14ac:dyDescent="0.3">
      <c r="A69" s="1" t="s">
        <v>76</v>
      </c>
      <c r="B69" s="1">
        <v>989</v>
      </c>
      <c r="C69" s="1">
        <v>10</v>
      </c>
      <c r="D69" s="1">
        <v>1.01</v>
      </c>
    </row>
    <row r="70" spans="1:4" x14ac:dyDescent="0.3">
      <c r="A70" s="1" t="s">
        <v>77</v>
      </c>
      <c r="B70" s="1">
        <v>792</v>
      </c>
      <c r="C70" s="1">
        <v>8</v>
      </c>
      <c r="D70" s="1">
        <v>1.01</v>
      </c>
    </row>
    <row r="71" spans="1:4" x14ac:dyDescent="0.3">
      <c r="A71" s="1" t="s">
        <v>78</v>
      </c>
      <c r="B71" s="1">
        <v>1506</v>
      </c>
      <c r="C71" s="1">
        <v>15</v>
      </c>
      <c r="D71" s="1">
        <v>1</v>
      </c>
    </row>
    <row r="72" spans="1:4" x14ac:dyDescent="0.3">
      <c r="A72" s="1" t="s">
        <v>79</v>
      </c>
      <c r="B72" s="1">
        <v>1006</v>
      </c>
      <c r="C72" s="1">
        <v>10</v>
      </c>
      <c r="D72" s="1">
        <v>0.99</v>
      </c>
    </row>
    <row r="73" spans="1:4" x14ac:dyDescent="0.3">
      <c r="A73" s="1" t="s">
        <v>80</v>
      </c>
      <c r="B73" s="1">
        <v>812</v>
      </c>
      <c r="C73" s="1">
        <v>8</v>
      </c>
      <c r="D73" s="1">
        <v>0.99</v>
      </c>
    </row>
    <row r="74" spans="1:4" x14ac:dyDescent="0.3">
      <c r="A74" s="1" t="s">
        <v>81</v>
      </c>
      <c r="B74" s="1">
        <v>808</v>
      </c>
      <c r="C74" s="1">
        <v>8</v>
      </c>
      <c r="D74" s="1">
        <v>0.99</v>
      </c>
    </row>
    <row r="75" spans="1:4" x14ac:dyDescent="0.3">
      <c r="A75" s="1" t="s">
        <v>82</v>
      </c>
      <c r="B75" s="1">
        <v>820</v>
      </c>
      <c r="C75" s="1">
        <v>8</v>
      </c>
      <c r="D75" s="1">
        <v>0.98</v>
      </c>
    </row>
    <row r="76" spans="1:4" x14ac:dyDescent="0.3">
      <c r="A76" s="1" t="s">
        <v>83</v>
      </c>
      <c r="B76" s="1">
        <v>822</v>
      </c>
      <c r="C76" s="1">
        <v>8</v>
      </c>
      <c r="D76" s="1">
        <v>0.97</v>
      </c>
    </row>
    <row r="77" spans="1:4" x14ac:dyDescent="0.3">
      <c r="A77" s="1" t="s">
        <v>84</v>
      </c>
      <c r="B77" s="1">
        <v>517</v>
      </c>
      <c r="C77" s="1">
        <v>5</v>
      </c>
      <c r="D77" s="1">
        <v>0.97</v>
      </c>
    </row>
    <row r="78" spans="1:4" x14ac:dyDescent="0.3">
      <c r="A78" s="1" t="s">
        <v>85</v>
      </c>
      <c r="B78" s="1">
        <v>830</v>
      </c>
      <c r="C78" s="1">
        <v>8</v>
      </c>
      <c r="D78" s="1">
        <v>0.96</v>
      </c>
    </row>
    <row r="79" spans="1:4" x14ac:dyDescent="0.3">
      <c r="A79" s="1" t="s">
        <v>86</v>
      </c>
      <c r="B79" s="1">
        <v>522</v>
      </c>
      <c r="C79" s="1">
        <v>5</v>
      </c>
      <c r="D79" s="1">
        <v>0.96</v>
      </c>
    </row>
    <row r="80" spans="1:4" x14ac:dyDescent="0.3">
      <c r="A80" s="1" t="s">
        <v>87</v>
      </c>
      <c r="B80" s="1">
        <v>1058</v>
      </c>
      <c r="C80" s="1">
        <v>10</v>
      </c>
      <c r="D80" s="1">
        <v>0.95</v>
      </c>
    </row>
    <row r="81" spans="1:4" x14ac:dyDescent="0.3">
      <c r="A81" s="1" t="s">
        <v>88</v>
      </c>
      <c r="B81" s="1">
        <v>1056</v>
      </c>
      <c r="C81" s="1">
        <v>10</v>
      </c>
      <c r="D81" s="1">
        <v>0.95</v>
      </c>
    </row>
    <row r="82" spans="1:4" x14ac:dyDescent="0.3">
      <c r="A82" s="1" t="s">
        <v>89</v>
      </c>
      <c r="B82" s="1">
        <v>1054</v>
      </c>
      <c r="C82" s="1">
        <v>10</v>
      </c>
      <c r="D82" s="1">
        <v>0.95</v>
      </c>
    </row>
    <row r="83" spans="1:4" x14ac:dyDescent="0.3">
      <c r="A83" s="1" t="s">
        <v>90</v>
      </c>
      <c r="B83" s="1">
        <v>839</v>
      </c>
      <c r="C83" s="1">
        <v>8</v>
      </c>
      <c r="D83" s="1">
        <v>0.95</v>
      </c>
    </row>
    <row r="84" spans="1:4" x14ac:dyDescent="0.3">
      <c r="A84" s="1" t="s">
        <v>91</v>
      </c>
      <c r="B84" s="1">
        <v>1060</v>
      </c>
      <c r="C84" s="1">
        <v>10</v>
      </c>
      <c r="D84" s="1">
        <v>0.94</v>
      </c>
    </row>
    <row r="85" spans="1:4" x14ac:dyDescent="0.3">
      <c r="A85" s="1" t="s">
        <v>92</v>
      </c>
      <c r="B85" s="1">
        <v>534</v>
      </c>
      <c r="C85" s="1">
        <v>5</v>
      </c>
      <c r="D85" s="1">
        <v>0.94</v>
      </c>
    </row>
    <row r="86" spans="1:4" x14ac:dyDescent="0.3">
      <c r="A86" s="1" t="s">
        <v>93</v>
      </c>
      <c r="B86" s="1">
        <v>1075</v>
      </c>
      <c r="C86" s="1">
        <v>10</v>
      </c>
      <c r="D86" s="1">
        <v>0.93</v>
      </c>
    </row>
    <row r="87" spans="1:4" x14ac:dyDescent="0.3">
      <c r="A87" s="1" t="s">
        <v>94</v>
      </c>
      <c r="B87" s="1">
        <v>861</v>
      </c>
      <c r="C87" s="1">
        <v>8</v>
      </c>
      <c r="D87" s="1">
        <v>0.93</v>
      </c>
    </row>
    <row r="88" spans="1:4" x14ac:dyDescent="0.3">
      <c r="A88" s="1" t="s">
        <v>95</v>
      </c>
      <c r="B88" s="1">
        <v>540</v>
      </c>
      <c r="C88" s="1">
        <v>5</v>
      </c>
      <c r="D88" s="1">
        <v>0.93</v>
      </c>
    </row>
    <row r="89" spans="1:4" x14ac:dyDescent="0.3">
      <c r="A89" s="1" t="s">
        <v>96</v>
      </c>
      <c r="B89" s="1">
        <v>537</v>
      </c>
      <c r="C89" s="1">
        <v>5</v>
      </c>
      <c r="D89" s="1">
        <v>0.93</v>
      </c>
    </row>
    <row r="90" spans="1:4" x14ac:dyDescent="0.3">
      <c r="A90" s="1" t="s">
        <v>97</v>
      </c>
      <c r="B90" s="1">
        <v>536</v>
      </c>
      <c r="C90" s="1">
        <v>5</v>
      </c>
      <c r="D90" s="1">
        <v>0.93</v>
      </c>
    </row>
    <row r="91" spans="1:4" x14ac:dyDescent="0.3">
      <c r="A91" s="1" t="s">
        <v>98</v>
      </c>
      <c r="B91" s="1">
        <v>869</v>
      </c>
      <c r="C91" s="1">
        <v>8</v>
      </c>
      <c r="D91" s="1">
        <v>0.92</v>
      </c>
    </row>
    <row r="92" spans="1:4" x14ac:dyDescent="0.3">
      <c r="A92" s="1" t="s">
        <v>99</v>
      </c>
      <c r="B92" s="1">
        <v>544</v>
      </c>
      <c r="C92" s="1">
        <v>5</v>
      </c>
      <c r="D92" s="1">
        <v>0.92</v>
      </c>
    </row>
    <row r="93" spans="1:4" x14ac:dyDescent="0.3">
      <c r="A93" s="1" t="s">
        <v>100</v>
      </c>
      <c r="B93" s="1">
        <v>1102</v>
      </c>
      <c r="C93" s="1">
        <v>10</v>
      </c>
      <c r="D93" s="1">
        <v>0.91</v>
      </c>
    </row>
    <row r="94" spans="1:4" x14ac:dyDescent="0.3">
      <c r="A94" s="1" t="s">
        <v>101</v>
      </c>
      <c r="B94" s="1">
        <v>882</v>
      </c>
      <c r="C94" s="1">
        <v>8</v>
      </c>
      <c r="D94" s="1">
        <v>0.91</v>
      </c>
    </row>
    <row r="95" spans="1:4" x14ac:dyDescent="0.3">
      <c r="A95" s="1" t="s">
        <v>102</v>
      </c>
      <c r="B95" s="1">
        <v>334</v>
      </c>
      <c r="C95" s="1">
        <v>3</v>
      </c>
      <c r="D95" s="1">
        <v>0.9</v>
      </c>
    </row>
    <row r="96" spans="1:4" x14ac:dyDescent="0.3">
      <c r="A96" s="1" t="s">
        <v>103</v>
      </c>
      <c r="B96" s="1">
        <v>562</v>
      </c>
      <c r="C96" s="1">
        <v>5</v>
      </c>
      <c r="D96" s="1">
        <v>0.89</v>
      </c>
    </row>
    <row r="97" spans="1:4" x14ac:dyDescent="0.3">
      <c r="A97" s="1" t="s">
        <v>104</v>
      </c>
      <c r="B97" s="1">
        <v>559</v>
      </c>
      <c r="C97" s="1">
        <v>5</v>
      </c>
      <c r="D97" s="1">
        <v>0.89</v>
      </c>
    </row>
    <row r="98" spans="1:4" x14ac:dyDescent="0.3">
      <c r="A98" s="1" t="s">
        <v>105</v>
      </c>
      <c r="B98" s="1">
        <v>570</v>
      </c>
      <c r="C98" s="1">
        <v>5</v>
      </c>
      <c r="D98" s="1">
        <v>0.88</v>
      </c>
    </row>
    <row r="99" spans="1:4" x14ac:dyDescent="0.3">
      <c r="A99" s="1" t="s">
        <v>106</v>
      </c>
      <c r="B99" s="1">
        <v>570</v>
      </c>
      <c r="C99" s="1">
        <v>5</v>
      </c>
      <c r="D99" s="1">
        <v>0.88</v>
      </c>
    </row>
    <row r="100" spans="1:4" x14ac:dyDescent="0.3">
      <c r="A100" s="1" t="s">
        <v>107</v>
      </c>
      <c r="B100" s="1">
        <v>345</v>
      </c>
      <c r="C100" s="1">
        <v>3</v>
      </c>
      <c r="D100" s="1">
        <v>0.87</v>
      </c>
    </row>
    <row r="101" spans="1:4" x14ac:dyDescent="0.3">
      <c r="A101" s="1" t="s">
        <v>108</v>
      </c>
      <c r="B101" s="1">
        <v>1050</v>
      </c>
      <c r="C101" s="1">
        <v>9</v>
      </c>
      <c r="D101" s="1">
        <v>0.86</v>
      </c>
    </row>
    <row r="102" spans="1:4" x14ac:dyDescent="0.3">
      <c r="A102" s="1" t="s">
        <v>109</v>
      </c>
      <c r="B102" s="1">
        <v>1047</v>
      </c>
      <c r="C102" s="1">
        <v>9</v>
      </c>
      <c r="D102" s="1">
        <v>0.86</v>
      </c>
    </row>
    <row r="103" spans="1:4" x14ac:dyDescent="0.3">
      <c r="A103" s="1" t="s">
        <v>110</v>
      </c>
      <c r="B103" s="1">
        <v>1041</v>
      </c>
      <c r="C103" s="1">
        <v>9</v>
      </c>
      <c r="D103" s="1">
        <v>0.86</v>
      </c>
    </row>
    <row r="104" spans="1:4" x14ac:dyDescent="0.3">
      <c r="A104" s="1" t="s">
        <v>111</v>
      </c>
      <c r="B104" s="1">
        <v>815</v>
      </c>
      <c r="C104" s="1">
        <v>7</v>
      </c>
      <c r="D104" s="1">
        <v>0.86</v>
      </c>
    </row>
    <row r="105" spans="1:4" x14ac:dyDescent="0.3">
      <c r="A105" s="1" t="s">
        <v>112</v>
      </c>
      <c r="B105" s="1">
        <v>814</v>
      </c>
      <c r="C105" s="1">
        <v>7</v>
      </c>
      <c r="D105" s="1">
        <v>0.86</v>
      </c>
    </row>
    <row r="106" spans="1:4" x14ac:dyDescent="0.3">
      <c r="A106" s="1" t="s">
        <v>113</v>
      </c>
      <c r="B106" s="1">
        <v>822</v>
      </c>
      <c r="C106" s="1">
        <v>7</v>
      </c>
      <c r="D106" s="1">
        <v>0.85</v>
      </c>
    </row>
    <row r="107" spans="1:4" x14ac:dyDescent="0.3">
      <c r="A107" s="1" t="s">
        <v>114</v>
      </c>
      <c r="B107" s="1">
        <v>595</v>
      </c>
      <c r="C107" s="1">
        <v>5</v>
      </c>
      <c r="D107" s="1">
        <v>0.84</v>
      </c>
    </row>
    <row r="108" spans="1:4" x14ac:dyDescent="0.3">
      <c r="A108" s="1" t="s">
        <v>115</v>
      </c>
      <c r="B108" s="1">
        <v>1859</v>
      </c>
      <c r="C108" s="1">
        <v>15</v>
      </c>
      <c r="D108" s="1">
        <v>0.81</v>
      </c>
    </row>
    <row r="109" spans="1:4" x14ac:dyDescent="0.3">
      <c r="A109" s="1" t="s">
        <v>116</v>
      </c>
      <c r="B109" s="1">
        <v>869</v>
      </c>
      <c r="C109" s="1">
        <v>7</v>
      </c>
      <c r="D109" s="1">
        <v>0.81</v>
      </c>
    </row>
    <row r="110" spans="1:4" x14ac:dyDescent="0.3">
      <c r="A110" s="1" t="s">
        <v>117</v>
      </c>
      <c r="B110" s="1">
        <v>1019</v>
      </c>
      <c r="C110" s="1">
        <v>8</v>
      </c>
      <c r="D110" s="1">
        <v>0.79</v>
      </c>
    </row>
    <row r="111" spans="1:4" x14ac:dyDescent="0.3">
      <c r="A111" s="1" t="s">
        <v>118</v>
      </c>
      <c r="B111" s="1">
        <v>1016</v>
      </c>
      <c r="C111" s="1">
        <v>8</v>
      </c>
      <c r="D111" s="1">
        <v>0.79</v>
      </c>
    </row>
    <row r="112" spans="1:4" x14ac:dyDescent="0.3">
      <c r="A112" s="1" t="s">
        <v>119</v>
      </c>
      <c r="B112" s="1">
        <v>380</v>
      </c>
      <c r="C112" s="1">
        <v>3</v>
      </c>
      <c r="D112" s="1">
        <v>0.79</v>
      </c>
    </row>
    <row r="113" spans="1:4" x14ac:dyDescent="0.3">
      <c r="A113" s="1" t="s">
        <v>120</v>
      </c>
      <c r="B113" s="1">
        <v>1025</v>
      </c>
      <c r="C113" s="1">
        <v>8</v>
      </c>
      <c r="D113" s="1">
        <v>0.78</v>
      </c>
    </row>
    <row r="114" spans="1:4" x14ac:dyDescent="0.3">
      <c r="A114" s="1" t="s">
        <v>121</v>
      </c>
      <c r="B114" s="1">
        <v>1025</v>
      </c>
      <c r="C114" s="1">
        <v>8</v>
      </c>
      <c r="D114" s="1">
        <v>0.78</v>
      </c>
    </row>
    <row r="115" spans="1:4" x14ac:dyDescent="0.3">
      <c r="A115" s="1" t="s">
        <v>122</v>
      </c>
      <c r="B115" s="1">
        <v>1058</v>
      </c>
      <c r="C115" s="1">
        <v>8</v>
      </c>
      <c r="D115" s="1">
        <v>0.76</v>
      </c>
    </row>
    <row r="116" spans="1:4" x14ac:dyDescent="0.3">
      <c r="A116" s="1" t="s">
        <v>123</v>
      </c>
      <c r="B116" s="1">
        <v>1047</v>
      </c>
      <c r="C116" s="1">
        <v>8</v>
      </c>
      <c r="D116" s="1">
        <v>0.76</v>
      </c>
    </row>
    <row r="117" spans="1:4" x14ac:dyDescent="0.3">
      <c r="A117" s="1" t="s">
        <v>124</v>
      </c>
      <c r="B117" s="1">
        <v>917</v>
      </c>
      <c r="C117" s="1">
        <v>7</v>
      </c>
      <c r="D117" s="1">
        <v>0.76</v>
      </c>
    </row>
    <row r="118" spans="1:4" x14ac:dyDescent="0.3">
      <c r="A118" s="1" t="s">
        <v>125</v>
      </c>
      <c r="B118" s="1">
        <v>397</v>
      </c>
      <c r="C118" s="1">
        <v>3</v>
      </c>
      <c r="D118" s="1">
        <v>0.76</v>
      </c>
    </row>
    <row r="119" spans="1:4" x14ac:dyDescent="0.3">
      <c r="A119" s="1" t="s">
        <v>126</v>
      </c>
      <c r="B119" s="1">
        <v>1202</v>
      </c>
      <c r="C119" s="1">
        <v>9</v>
      </c>
      <c r="D119" s="1">
        <v>0.75</v>
      </c>
    </row>
    <row r="120" spans="1:4" x14ac:dyDescent="0.3">
      <c r="A120" s="1" t="s">
        <v>127</v>
      </c>
      <c r="B120" s="1">
        <v>1061</v>
      </c>
      <c r="C120" s="1">
        <v>8</v>
      </c>
      <c r="D120" s="1">
        <v>0.75</v>
      </c>
    </row>
    <row r="121" spans="1:4" x14ac:dyDescent="0.3">
      <c r="A121" s="1" t="s">
        <v>128</v>
      </c>
      <c r="B121" s="1">
        <v>664</v>
      </c>
      <c r="C121" s="1">
        <v>5</v>
      </c>
      <c r="D121" s="1">
        <v>0.75</v>
      </c>
    </row>
    <row r="122" spans="1:4" x14ac:dyDescent="0.3">
      <c r="A122" s="1" t="s">
        <v>129</v>
      </c>
      <c r="B122" s="1">
        <v>1084</v>
      </c>
      <c r="C122" s="1">
        <v>8</v>
      </c>
      <c r="D122" s="1">
        <v>0.74</v>
      </c>
    </row>
    <row r="123" spans="1:4" x14ac:dyDescent="0.3">
      <c r="A123" s="1" t="s">
        <v>130</v>
      </c>
      <c r="B123" s="1">
        <v>1079</v>
      </c>
      <c r="C123" s="1">
        <v>8</v>
      </c>
      <c r="D123" s="1">
        <v>0.74</v>
      </c>
    </row>
    <row r="124" spans="1:4" x14ac:dyDescent="0.3">
      <c r="A124" s="1" t="s">
        <v>131</v>
      </c>
      <c r="B124" s="1">
        <v>1075</v>
      </c>
      <c r="C124" s="1">
        <v>8</v>
      </c>
      <c r="D124" s="1">
        <v>0.74</v>
      </c>
    </row>
    <row r="125" spans="1:4" x14ac:dyDescent="0.3">
      <c r="A125" s="1" t="s">
        <v>132</v>
      </c>
      <c r="B125" s="1">
        <v>1075</v>
      </c>
      <c r="C125" s="1">
        <v>8</v>
      </c>
      <c r="D125" s="1">
        <v>0.74</v>
      </c>
    </row>
    <row r="126" spans="1:4" x14ac:dyDescent="0.3">
      <c r="A126" s="1" t="s">
        <v>133</v>
      </c>
      <c r="B126" s="1">
        <v>540</v>
      </c>
      <c r="C126" s="1">
        <v>4</v>
      </c>
      <c r="D126" s="1">
        <v>0.74</v>
      </c>
    </row>
    <row r="127" spans="1:4" x14ac:dyDescent="0.3">
      <c r="A127" s="1" t="s">
        <v>134</v>
      </c>
      <c r="B127" s="1">
        <v>1101</v>
      </c>
      <c r="C127" s="1">
        <v>8</v>
      </c>
      <c r="D127" s="1">
        <v>0.73</v>
      </c>
    </row>
    <row r="128" spans="1:4" x14ac:dyDescent="0.3">
      <c r="A128" s="1" t="s">
        <v>135</v>
      </c>
      <c r="B128" s="1">
        <v>959</v>
      </c>
      <c r="C128" s="1">
        <v>7</v>
      </c>
      <c r="D128" s="1">
        <v>0.73</v>
      </c>
    </row>
    <row r="129" spans="1:4" x14ac:dyDescent="0.3">
      <c r="A129" s="1" t="s">
        <v>136</v>
      </c>
      <c r="B129" s="1">
        <v>1521</v>
      </c>
      <c r="C129" s="1">
        <v>11</v>
      </c>
      <c r="D129" s="1">
        <v>0.72</v>
      </c>
    </row>
    <row r="130" spans="1:4" x14ac:dyDescent="0.3">
      <c r="A130" s="1" t="s">
        <v>137</v>
      </c>
      <c r="B130" s="1">
        <v>1109</v>
      </c>
      <c r="C130" s="1">
        <v>8</v>
      </c>
      <c r="D130" s="1">
        <v>0.72</v>
      </c>
    </row>
    <row r="131" spans="1:4" x14ac:dyDescent="0.3">
      <c r="A131" s="1" t="s">
        <v>138</v>
      </c>
      <c r="B131" s="1">
        <v>968</v>
      </c>
      <c r="C131" s="1">
        <v>7</v>
      </c>
      <c r="D131" s="1">
        <v>0.72</v>
      </c>
    </row>
    <row r="132" spans="1:4" x14ac:dyDescent="0.3">
      <c r="A132" s="1" t="s">
        <v>139</v>
      </c>
      <c r="B132" s="1">
        <v>967</v>
      </c>
      <c r="C132" s="1">
        <v>7</v>
      </c>
      <c r="D132" s="1">
        <v>0.72</v>
      </c>
    </row>
    <row r="133" spans="1:4" x14ac:dyDescent="0.3">
      <c r="A133" s="1" t="s">
        <v>140</v>
      </c>
      <c r="B133" s="1">
        <v>558</v>
      </c>
      <c r="C133" s="1">
        <v>4</v>
      </c>
      <c r="D133" s="1">
        <v>0.72</v>
      </c>
    </row>
    <row r="134" spans="1:4" x14ac:dyDescent="0.3">
      <c r="A134" s="1" t="s">
        <v>141</v>
      </c>
      <c r="B134" s="1">
        <v>1119</v>
      </c>
      <c r="C134" s="1">
        <v>8</v>
      </c>
      <c r="D134" s="1">
        <v>0.71</v>
      </c>
    </row>
    <row r="135" spans="1:4" x14ac:dyDescent="0.3">
      <c r="A135" s="1" t="s">
        <v>142</v>
      </c>
      <c r="B135" s="1">
        <v>566</v>
      </c>
      <c r="C135" s="1">
        <v>4</v>
      </c>
      <c r="D135" s="1">
        <v>0.71</v>
      </c>
    </row>
    <row r="136" spans="1:4" x14ac:dyDescent="0.3">
      <c r="A136" s="1" t="s">
        <v>143</v>
      </c>
      <c r="B136" s="1">
        <v>999</v>
      </c>
      <c r="C136" s="1">
        <v>7</v>
      </c>
      <c r="D136" s="1">
        <v>0.7</v>
      </c>
    </row>
    <row r="137" spans="1:4" x14ac:dyDescent="0.3">
      <c r="A137" s="1" t="s">
        <v>144</v>
      </c>
      <c r="B137" s="1">
        <v>1019</v>
      </c>
      <c r="C137" s="1">
        <v>7</v>
      </c>
      <c r="D137" s="1">
        <v>0.69</v>
      </c>
    </row>
    <row r="138" spans="1:4" x14ac:dyDescent="0.3">
      <c r="A138" s="1" t="s">
        <v>145</v>
      </c>
      <c r="B138" s="1">
        <v>1018</v>
      </c>
      <c r="C138" s="1">
        <v>7</v>
      </c>
      <c r="D138" s="1">
        <v>0.69</v>
      </c>
    </row>
    <row r="139" spans="1:4" x14ac:dyDescent="0.3">
      <c r="A139" s="1" t="s">
        <v>146</v>
      </c>
      <c r="B139" s="1">
        <v>1032</v>
      </c>
      <c r="C139" s="1">
        <v>7</v>
      </c>
      <c r="D139" s="1">
        <v>0.68</v>
      </c>
    </row>
    <row r="140" spans="1:4" x14ac:dyDescent="0.3">
      <c r="A140" s="1" t="s">
        <v>147</v>
      </c>
      <c r="B140" s="1">
        <v>1055</v>
      </c>
      <c r="C140" s="1">
        <v>7</v>
      </c>
      <c r="D140" s="1">
        <v>0.66</v>
      </c>
    </row>
    <row r="141" spans="1:4" x14ac:dyDescent="0.3">
      <c r="A141" s="1" t="s">
        <v>148</v>
      </c>
      <c r="B141" s="1">
        <v>1561</v>
      </c>
      <c r="C141" s="1">
        <v>10</v>
      </c>
      <c r="D141" s="1">
        <v>0.64</v>
      </c>
    </row>
    <row r="142" spans="1:4" x14ac:dyDescent="0.3">
      <c r="A142" s="1" t="s">
        <v>149</v>
      </c>
      <c r="B142" s="1">
        <v>1118</v>
      </c>
      <c r="C142" s="1">
        <v>7</v>
      </c>
      <c r="D142" s="1">
        <v>0.63</v>
      </c>
    </row>
    <row r="143" spans="1:4" x14ac:dyDescent="0.3">
      <c r="A143" s="1" t="s">
        <v>150</v>
      </c>
      <c r="B143" s="1">
        <v>950</v>
      </c>
      <c r="C143" s="1">
        <v>6</v>
      </c>
      <c r="D143" s="1">
        <v>0.63</v>
      </c>
    </row>
    <row r="144" spans="1:4" x14ac:dyDescent="0.3">
      <c r="A144" s="1" t="s">
        <v>151</v>
      </c>
      <c r="B144" s="1">
        <v>799</v>
      </c>
      <c r="C144" s="1">
        <v>5</v>
      </c>
      <c r="D144" s="1">
        <v>0.63</v>
      </c>
    </row>
    <row r="145" spans="1:4" x14ac:dyDescent="0.3">
      <c r="A145" s="1" t="s">
        <v>152</v>
      </c>
      <c r="B145" s="1">
        <v>1124</v>
      </c>
      <c r="C145" s="1">
        <v>7</v>
      </c>
      <c r="D145" s="1">
        <v>0.62</v>
      </c>
    </row>
    <row r="146" spans="1:4" x14ac:dyDescent="0.3">
      <c r="A146" s="1" t="s">
        <v>153</v>
      </c>
      <c r="B146" s="1">
        <v>968</v>
      </c>
      <c r="C146" s="1">
        <v>6</v>
      </c>
      <c r="D146" s="1">
        <v>0.62</v>
      </c>
    </row>
    <row r="147" spans="1:4" x14ac:dyDescent="0.3">
      <c r="A147" s="1" t="s">
        <v>154</v>
      </c>
      <c r="B147" s="1">
        <v>987</v>
      </c>
      <c r="C147" s="1">
        <v>6</v>
      </c>
      <c r="D147" s="1">
        <v>0.61</v>
      </c>
    </row>
    <row r="148" spans="1:4" x14ac:dyDescent="0.3">
      <c r="A148" s="1" t="s">
        <v>155</v>
      </c>
      <c r="B148" s="1">
        <v>817</v>
      </c>
      <c r="C148" s="1">
        <v>5</v>
      </c>
      <c r="D148" s="1">
        <v>0.61</v>
      </c>
    </row>
    <row r="149" spans="1:4" x14ac:dyDescent="0.3">
      <c r="A149" s="1" t="s">
        <v>156</v>
      </c>
      <c r="B149" s="1">
        <v>1023</v>
      </c>
      <c r="C149" s="1">
        <v>6</v>
      </c>
      <c r="D149" s="1">
        <v>0.59</v>
      </c>
    </row>
    <row r="150" spans="1:4" x14ac:dyDescent="0.3">
      <c r="A150" s="1" t="s">
        <v>157</v>
      </c>
      <c r="B150" s="1">
        <v>1018</v>
      </c>
      <c r="C150" s="1">
        <v>6</v>
      </c>
      <c r="D150" s="1">
        <v>0.59</v>
      </c>
    </row>
    <row r="151" spans="1:4" x14ac:dyDescent="0.3">
      <c r="A151" s="1" t="s">
        <v>158</v>
      </c>
      <c r="B151" s="1">
        <v>1018</v>
      </c>
      <c r="C151" s="1">
        <v>6</v>
      </c>
      <c r="D151" s="1">
        <v>0.59</v>
      </c>
    </row>
    <row r="152" spans="1:4" x14ac:dyDescent="0.3">
      <c r="A152" s="1" t="s">
        <v>159</v>
      </c>
      <c r="B152" s="1">
        <v>1011</v>
      </c>
      <c r="C152" s="1">
        <v>6</v>
      </c>
      <c r="D152" s="1">
        <v>0.59</v>
      </c>
    </row>
    <row r="153" spans="1:4" x14ac:dyDescent="0.3">
      <c r="A153" s="1" t="s">
        <v>160</v>
      </c>
      <c r="B153" s="1">
        <v>1011</v>
      </c>
      <c r="C153" s="1">
        <v>6</v>
      </c>
      <c r="D153" s="1">
        <v>0.59</v>
      </c>
    </row>
    <row r="154" spans="1:4" x14ac:dyDescent="0.3">
      <c r="A154" s="1" t="s">
        <v>161</v>
      </c>
      <c r="B154" s="1">
        <v>510</v>
      </c>
      <c r="C154" s="1">
        <v>3</v>
      </c>
      <c r="D154" s="1">
        <v>0.59</v>
      </c>
    </row>
    <row r="155" spans="1:4" x14ac:dyDescent="0.3">
      <c r="A155" s="1" t="s">
        <v>162</v>
      </c>
      <c r="B155" s="1">
        <v>1039</v>
      </c>
      <c r="C155" s="1">
        <v>6</v>
      </c>
      <c r="D155" s="1">
        <v>0.57999999999999996</v>
      </c>
    </row>
    <row r="156" spans="1:4" x14ac:dyDescent="0.3">
      <c r="A156" s="1" t="s">
        <v>163</v>
      </c>
      <c r="B156" s="1">
        <v>859</v>
      </c>
      <c r="C156" s="1">
        <v>5</v>
      </c>
      <c r="D156" s="1">
        <v>0.57999999999999996</v>
      </c>
    </row>
    <row r="157" spans="1:4" x14ac:dyDescent="0.3">
      <c r="A157" s="1" t="s">
        <v>164</v>
      </c>
      <c r="B157" s="1">
        <v>346</v>
      </c>
      <c r="C157" s="1">
        <v>2</v>
      </c>
      <c r="D157" s="1">
        <v>0.57999999999999996</v>
      </c>
    </row>
    <row r="158" spans="1:4" x14ac:dyDescent="0.3">
      <c r="A158" s="1" t="s">
        <v>165</v>
      </c>
      <c r="B158" s="1">
        <v>345</v>
      </c>
      <c r="C158" s="1">
        <v>2</v>
      </c>
      <c r="D158" s="1">
        <v>0.57999999999999996</v>
      </c>
    </row>
    <row r="159" spans="1:4" x14ac:dyDescent="0.3">
      <c r="A159" s="1" t="s">
        <v>166</v>
      </c>
      <c r="B159" s="1">
        <v>342</v>
      </c>
      <c r="C159" s="1">
        <v>2</v>
      </c>
      <c r="D159" s="1">
        <v>0.57999999999999996</v>
      </c>
    </row>
    <row r="160" spans="1:4" x14ac:dyDescent="0.3">
      <c r="A160" s="1" t="s">
        <v>167</v>
      </c>
      <c r="B160" s="1">
        <v>1050</v>
      </c>
      <c r="C160" s="1">
        <v>6</v>
      </c>
      <c r="D160" s="1">
        <v>0.56999999999999995</v>
      </c>
    </row>
    <row r="161" spans="1:4" x14ac:dyDescent="0.3">
      <c r="A161" s="1" t="s">
        <v>168</v>
      </c>
      <c r="B161" s="1">
        <v>524</v>
      </c>
      <c r="C161" s="1">
        <v>3</v>
      </c>
      <c r="D161" s="1">
        <v>0.56999999999999995</v>
      </c>
    </row>
    <row r="162" spans="1:4" x14ac:dyDescent="0.3">
      <c r="A162" s="1" t="s">
        <v>169</v>
      </c>
      <c r="B162" s="1">
        <v>351</v>
      </c>
      <c r="C162" s="1">
        <v>2</v>
      </c>
      <c r="D162" s="1">
        <v>0.56999999999999995</v>
      </c>
    </row>
    <row r="163" spans="1:4" x14ac:dyDescent="0.3">
      <c r="A163" s="1" t="s">
        <v>170</v>
      </c>
      <c r="B163" s="1">
        <v>348</v>
      </c>
      <c r="C163" s="1">
        <v>2</v>
      </c>
      <c r="D163" s="1">
        <v>0.56999999999999995</v>
      </c>
    </row>
    <row r="164" spans="1:4" x14ac:dyDescent="0.3">
      <c r="A164" s="1" t="s">
        <v>171</v>
      </c>
      <c r="B164" s="1">
        <v>1066</v>
      </c>
      <c r="C164" s="1">
        <v>6</v>
      </c>
      <c r="D164" s="1">
        <v>0.56000000000000005</v>
      </c>
    </row>
    <row r="165" spans="1:4" x14ac:dyDescent="0.3">
      <c r="A165" s="1" t="s">
        <v>172</v>
      </c>
      <c r="B165" s="1">
        <v>715</v>
      </c>
      <c r="C165" s="1">
        <v>4</v>
      </c>
      <c r="D165" s="1">
        <v>0.56000000000000005</v>
      </c>
    </row>
    <row r="166" spans="1:4" x14ac:dyDescent="0.3">
      <c r="A166" s="1" t="s">
        <v>173</v>
      </c>
      <c r="B166" s="1">
        <v>356</v>
      </c>
      <c r="C166" s="1">
        <v>2</v>
      </c>
      <c r="D166" s="1">
        <v>0.56000000000000005</v>
      </c>
    </row>
    <row r="167" spans="1:4" x14ac:dyDescent="0.3">
      <c r="A167" s="1" t="s">
        <v>174</v>
      </c>
      <c r="B167" s="1">
        <v>355</v>
      </c>
      <c r="C167" s="1">
        <v>2</v>
      </c>
      <c r="D167" s="1">
        <v>0.56000000000000005</v>
      </c>
    </row>
    <row r="168" spans="1:4" x14ac:dyDescent="0.3">
      <c r="A168" s="1" t="s">
        <v>175</v>
      </c>
      <c r="B168" s="1">
        <v>545</v>
      </c>
      <c r="C168" s="1">
        <v>3</v>
      </c>
      <c r="D168" s="1">
        <v>0.55000000000000004</v>
      </c>
    </row>
    <row r="169" spans="1:4" x14ac:dyDescent="0.3">
      <c r="A169" s="1" t="s">
        <v>176</v>
      </c>
      <c r="B169" s="1">
        <v>1114</v>
      </c>
      <c r="C169" s="1">
        <v>6</v>
      </c>
      <c r="D169" s="1">
        <v>0.54</v>
      </c>
    </row>
    <row r="170" spans="1:4" x14ac:dyDescent="0.3">
      <c r="A170" s="1" t="s">
        <v>177</v>
      </c>
      <c r="B170" s="1">
        <v>743</v>
      </c>
      <c r="C170" s="1">
        <v>4</v>
      </c>
      <c r="D170" s="1">
        <v>0.54</v>
      </c>
    </row>
    <row r="171" spans="1:4" x14ac:dyDescent="0.3">
      <c r="A171" s="1" t="s">
        <v>178</v>
      </c>
      <c r="B171" s="1">
        <v>566</v>
      </c>
      <c r="C171" s="1">
        <v>3</v>
      </c>
      <c r="D171" s="1">
        <v>0.53</v>
      </c>
    </row>
    <row r="172" spans="1:4" x14ac:dyDescent="0.3">
      <c r="A172" s="1" t="s">
        <v>179</v>
      </c>
      <c r="B172" s="1">
        <v>562</v>
      </c>
      <c r="C172" s="1">
        <v>3</v>
      </c>
      <c r="D172" s="1">
        <v>0.53</v>
      </c>
    </row>
    <row r="173" spans="1:4" x14ac:dyDescent="0.3">
      <c r="A173" s="1" t="s">
        <v>180</v>
      </c>
      <c r="B173" s="1">
        <v>380</v>
      </c>
      <c r="C173" s="1">
        <v>2</v>
      </c>
      <c r="D173" s="1">
        <v>0.53</v>
      </c>
    </row>
    <row r="174" spans="1:4" x14ac:dyDescent="0.3">
      <c r="A174" s="1" t="s">
        <v>181</v>
      </c>
      <c r="B174" s="1">
        <v>967</v>
      </c>
      <c r="C174" s="1">
        <v>5</v>
      </c>
      <c r="D174" s="1">
        <v>0.52</v>
      </c>
    </row>
    <row r="175" spans="1:4" x14ac:dyDescent="0.3">
      <c r="A175" s="1" t="s">
        <v>182</v>
      </c>
      <c r="B175" s="1">
        <v>579</v>
      </c>
      <c r="C175" s="1">
        <v>3</v>
      </c>
      <c r="D175" s="1">
        <v>0.52</v>
      </c>
    </row>
    <row r="176" spans="1:4" x14ac:dyDescent="0.3">
      <c r="A176" s="1" t="s">
        <v>183</v>
      </c>
      <c r="B176" s="1">
        <v>579</v>
      </c>
      <c r="C176" s="1">
        <v>3</v>
      </c>
      <c r="D176" s="1">
        <v>0.52</v>
      </c>
    </row>
    <row r="177" spans="1:4" x14ac:dyDescent="0.3">
      <c r="A177" s="1" t="s">
        <v>184</v>
      </c>
      <c r="B177" s="1">
        <v>388</v>
      </c>
      <c r="C177" s="1">
        <v>2</v>
      </c>
      <c r="D177" s="1">
        <v>0.52</v>
      </c>
    </row>
    <row r="178" spans="1:4" x14ac:dyDescent="0.3">
      <c r="A178" s="1" t="s">
        <v>185</v>
      </c>
      <c r="B178" s="1">
        <v>386</v>
      </c>
      <c r="C178" s="1">
        <v>2</v>
      </c>
      <c r="D178" s="1">
        <v>0.52</v>
      </c>
    </row>
    <row r="179" spans="1:4" x14ac:dyDescent="0.3">
      <c r="A179" s="1" t="s">
        <v>186</v>
      </c>
      <c r="B179" s="1">
        <v>987</v>
      </c>
      <c r="C179" s="1">
        <v>5</v>
      </c>
      <c r="D179" s="1">
        <v>0.51</v>
      </c>
    </row>
    <row r="180" spans="1:4" x14ac:dyDescent="0.3">
      <c r="A180" s="1" t="s">
        <v>187</v>
      </c>
      <c r="B180" s="1">
        <v>974</v>
      </c>
      <c r="C180" s="1">
        <v>5</v>
      </c>
      <c r="D180" s="1">
        <v>0.51</v>
      </c>
    </row>
    <row r="181" spans="1:4" x14ac:dyDescent="0.3">
      <c r="A181" s="1" t="s">
        <v>188</v>
      </c>
      <c r="B181" s="1">
        <v>787</v>
      </c>
      <c r="C181" s="1">
        <v>4</v>
      </c>
      <c r="D181" s="1">
        <v>0.51</v>
      </c>
    </row>
    <row r="182" spans="1:4" x14ac:dyDescent="0.3">
      <c r="A182" s="1" t="s">
        <v>189</v>
      </c>
      <c r="B182" s="1">
        <v>786</v>
      </c>
      <c r="C182" s="1">
        <v>4</v>
      </c>
      <c r="D182" s="1">
        <v>0.51</v>
      </c>
    </row>
    <row r="183" spans="1:4" x14ac:dyDescent="0.3">
      <c r="A183" s="1" t="s">
        <v>190</v>
      </c>
      <c r="B183" s="1">
        <v>394</v>
      </c>
      <c r="C183" s="1">
        <v>2</v>
      </c>
      <c r="D183" s="1">
        <v>0.51</v>
      </c>
    </row>
    <row r="184" spans="1:4" x14ac:dyDescent="0.3">
      <c r="A184" s="1" t="s">
        <v>191</v>
      </c>
      <c r="B184" s="1">
        <v>390</v>
      </c>
      <c r="C184" s="1">
        <v>2</v>
      </c>
      <c r="D184" s="1">
        <v>0.51</v>
      </c>
    </row>
    <row r="185" spans="1:4" x14ac:dyDescent="0.3">
      <c r="A185" s="1" t="s">
        <v>192</v>
      </c>
      <c r="B185" s="1">
        <v>1006</v>
      </c>
      <c r="C185" s="1">
        <v>5</v>
      </c>
      <c r="D185" s="1">
        <v>0.5</v>
      </c>
    </row>
    <row r="186" spans="1:4" x14ac:dyDescent="0.3">
      <c r="A186" s="1" t="s">
        <v>193</v>
      </c>
      <c r="B186" s="1">
        <v>1003</v>
      </c>
      <c r="C186" s="1">
        <v>5</v>
      </c>
      <c r="D186" s="1">
        <v>0.5</v>
      </c>
    </row>
    <row r="187" spans="1:4" x14ac:dyDescent="0.3">
      <c r="A187" s="1" t="s">
        <v>194</v>
      </c>
      <c r="B187" s="1">
        <v>994</v>
      </c>
      <c r="C187" s="1">
        <v>5</v>
      </c>
      <c r="D187" s="1">
        <v>0.5</v>
      </c>
    </row>
    <row r="188" spans="1:4" x14ac:dyDescent="0.3">
      <c r="A188" s="1" t="s">
        <v>195</v>
      </c>
      <c r="B188" s="1">
        <v>795</v>
      </c>
      <c r="C188" s="1">
        <v>4</v>
      </c>
      <c r="D188" s="1">
        <v>0.5</v>
      </c>
    </row>
    <row r="189" spans="1:4" x14ac:dyDescent="0.3">
      <c r="A189" s="1" t="s">
        <v>196</v>
      </c>
      <c r="B189" s="1">
        <v>1022</v>
      </c>
      <c r="C189" s="1">
        <v>5</v>
      </c>
      <c r="D189" s="1">
        <v>0.49</v>
      </c>
    </row>
    <row r="190" spans="1:4" x14ac:dyDescent="0.3">
      <c r="A190" s="1" t="s">
        <v>197</v>
      </c>
      <c r="B190" s="1">
        <v>822</v>
      </c>
      <c r="C190" s="1">
        <v>4</v>
      </c>
      <c r="D190" s="1">
        <v>0.49</v>
      </c>
    </row>
    <row r="191" spans="1:4" x14ac:dyDescent="0.3">
      <c r="A191" s="1" t="s">
        <v>198</v>
      </c>
      <c r="B191" s="1">
        <v>409</v>
      </c>
      <c r="C191" s="1">
        <v>2</v>
      </c>
      <c r="D191" s="1">
        <v>0.49</v>
      </c>
    </row>
    <row r="192" spans="1:4" x14ac:dyDescent="0.3">
      <c r="A192" s="1" t="s">
        <v>199</v>
      </c>
      <c r="B192" s="1">
        <v>1040</v>
      </c>
      <c r="C192" s="1">
        <v>5</v>
      </c>
      <c r="D192" s="1">
        <v>0.48</v>
      </c>
    </row>
    <row r="193" spans="1:4" x14ac:dyDescent="0.3">
      <c r="A193" s="1" t="s">
        <v>200</v>
      </c>
      <c r="B193" s="1">
        <v>837</v>
      </c>
      <c r="C193" s="1">
        <v>4</v>
      </c>
      <c r="D193" s="1">
        <v>0.48</v>
      </c>
    </row>
    <row r="194" spans="1:4" x14ac:dyDescent="0.3">
      <c r="A194" s="1" t="s">
        <v>201</v>
      </c>
      <c r="B194" s="1">
        <v>836</v>
      </c>
      <c r="C194" s="1">
        <v>4</v>
      </c>
      <c r="D194" s="1">
        <v>0.48</v>
      </c>
    </row>
    <row r="195" spans="1:4" x14ac:dyDescent="0.3">
      <c r="A195" s="1" t="s">
        <v>202</v>
      </c>
      <c r="B195" s="1">
        <v>1057</v>
      </c>
      <c r="C195" s="1">
        <v>5</v>
      </c>
      <c r="D195" s="1">
        <v>0.47</v>
      </c>
    </row>
    <row r="196" spans="1:4" x14ac:dyDescent="0.3">
      <c r="A196" s="1" t="s">
        <v>203</v>
      </c>
      <c r="B196" s="1">
        <v>1053</v>
      </c>
      <c r="C196" s="1">
        <v>5</v>
      </c>
      <c r="D196" s="1">
        <v>0.47</v>
      </c>
    </row>
    <row r="197" spans="1:4" x14ac:dyDescent="0.3">
      <c r="A197" s="1" t="s">
        <v>204</v>
      </c>
      <c r="B197" s="1">
        <v>848</v>
      </c>
      <c r="C197" s="1">
        <v>4</v>
      </c>
      <c r="D197" s="1">
        <v>0.47</v>
      </c>
    </row>
    <row r="198" spans="1:4" x14ac:dyDescent="0.3">
      <c r="A198" s="1" t="s">
        <v>205</v>
      </c>
      <c r="B198" s="1">
        <v>847</v>
      </c>
      <c r="C198" s="1">
        <v>4</v>
      </c>
      <c r="D198" s="1">
        <v>0.47</v>
      </c>
    </row>
    <row r="199" spans="1:4" x14ac:dyDescent="0.3">
      <c r="A199" s="1" t="s">
        <v>206</v>
      </c>
      <c r="B199" s="1">
        <v>1121</v>
      </c>
      <c r="C199" s="1">
        <v>5</v>
      </c>
      <c r="D199" s="1">
        <v>0.45</v>
      </c>
    </row>
    <row r="200" spans="1:4" x14ac:dyDescent="0.3">
      <c r="A200" s="1" t="s">
        <v>207</v>
      </c>
      <c r="B200" s="1">
        <v>1108</v>
      </c>
      <c r="C200" s="1">
        <v>5</v>
      </c>
      <c r="D200" s="1">
        <v>0.45</v>
      </c>
    </row>
    <row r="201" spans="1:4" x14ac:dyDescent="0.3">
      <c r="A201" s="1" t="s">
        <v>208</v>
      </c>
      <c r="B201" s="1">
        <v>665</v>
      </c>
      <c r="C201" s="1">
        <v>3</v>
      </c>
      <c r="D201" s="1">
        <v>0.45</v>
      </c>
    </row>
    <row r="202" spans="1:4" x14ac:dyDescent="0.3">
      <c r="A202" s="1" t="s">
        <v>209</v>
      </c>
      <c r="B202" s="1">
        <v>1125</v>
      </c>
      <c r="C202" s="1">
        <v>5</v>
      </c>
      <c r="D202" s="1">
        <v>0.44</v>
      </c>
    </row>
    <row r="203" spans="1:4" x14ac:dyDescent="0.3">
      <c r="A203" s="1" t="s">
        <v>210</v>
      </c>
      <c r="B203" s="1">
        <v>695</v>
      </c>
      <c r="C203" s="1">
        <v>3</v>
      </c>
      <c r="D203" s="1">
        <v>0.43</v>
      </c>
    </row>
    <row r="204" spans="1:4" x14ac:dyDescent="0.3">
      <c r="A204" s="1" t="s">
        <v>211</v>
      </c>
      <c r="B204" s="1">
        <v>690</v>
      </c>
      <c r="C204" s="1">
        <v>3</v>
      </c>
      <c r="D204" s="1">
        <v>0.43</v>
      </c>
    </row>
    <row r="205" spans="1:4" x14ac:dyDescent="0.3">
      <c r="A205" s="1" t="s">
        <v>212</v>
      </c>
      <c r="B205" s="1">
        <v>960</v>
      </c>
      <c r="C205" s="1">
        <v>4</v>
      </c>
      <c r="D205" s="1">
        <v>0.42</v>
      </c>
    </row>
    <row r="206" spans="1:4" x14ac:dyDescent="0.3">
      <c r="A206" s="1" t="s">
        <v>213</v>
      </c>
      <c r="B206" s="1">
        <v>951</v>
      </c>
      <c r="C206" s="1">
        <v>4</v>
      </c>
      <c r="D206" s="1">
        <v>0.42</v>
      </c>
    </row>
    <row r="207" spans="1:4" x14ac:dyDescent="0.3">
      <c r="A207" s="1" t="s">
        <v>214</v>
      </c>
      <c r="B207" s="1">
        <v>715</v>
      </c>
      <c r="C207" s="1">
        <v>3</v>
      </c>
      <c r="D207" s="1">
        <v>0.42</v>
      </c>
    </row>
    <row r="208" spans="1:4" x14ac:dyDescent="0.3">
      <c r="A208" s="1" t="s">
        <v>215</v>
      </c>
      <c r="B208" s="1">
        <v>711</v>
      </c>
      <c r="C208" s="1">
        <v>3</v>
      </c>
      <c r="D208" s="1">
        <v>0.42</v>
      </c>
    </row>
    <row r="209" spans="1:4" x14ac:dyDescent="0.3">
      <c r="A209" s="1" t="s">
        <v>216</v>
      </c>
      <c r="B209" s="1">
        <v>709</v>
      </c>
      <c r="C209" s="1">
        <v>3</v>
      </c>
      <c r="D209" s="1">
        <v>0.42</v>
      </c>
    </row>
    <row r="210" spans="1:4" x14ac:dyDescent="0.3">
      <c r="A210" s="1" t="s">
        <v>217</v>
      </c>
      <c r="B210" s="1">
        <v>987</v>
      </c>
      <c r="C210" s="1">
        <v>4</v>
      </c>
      <c r="D210" s="1">
        <v>0.41</v>
      </c>
    </row>
    <row r="211" spans="1:4" x14ac:dyDescent="0.3">
      <c r="A211" s="1" t="s">
        <v>218</v>
      </c>
      <c r="B211" s="1">
        <v>975</v>
      </c>
      <c r="C211" s="1">
        <v>4</v>
      </c>
      <c r="D211" s="1">
        <v>0.41</v>
      </c>
    </row>
    <row r="212" spans="1:4" x14ac:dyDescent="0.3">
      <c r="A212" s="1" t="s">
        <v>219</v>
      </c>
      <c r="B212" s="1">
        <v>968</v>
      </c>
      <c r="C212" s="1">
        <v>4</v>
      </c>
      <c r="D212" s="1">
        <v>0.41</v>
      </c>
    </row>
    <row r="213" spans="1:4" x14ac:dyDescent="0.3">
      <c r="A213" s="1" t="s">
        <v>220</v>
      </c>
      <c r="B213" s="1">
        <v>964</v>
      </c>
      <c r="C213" s="1">
        <v>4</v>
      </c>
      <c r="D213" s="1">
        <v>0.41</v>
      </c>
    </row>
    <row r="214" spans="1:4" x14ac:dyDescent="0.3">
      <c r="A214" s="1" t="s">
        <v>221</v>
      </c>
      <c r="B214" s="1">
        <v>736</v>
      </c>
      <c r="C214" s="1">
        <v>3</v>
      </c>
      <c r="D214" s="1">
        <v>0.41</v>
      </c>
    </row>
    <row r="215" spans="1:4" x14ac:dyDescent="0.3">
      <c r="A215" s="1" t="s">
        <v>222</v>
      </c>
      <c r="B215" s="1">
        <v>730</v>
      </c>
      <c r="C215" s="1">
        <v>3</v>
      </c>
      <c r="D215" s="1">
        <v>0.41</v>
      </c>
    </row>
    <row r="216" spans="1:4" x14ac:dyDescent="0.3">
      <c r="A216" s="1" t="s">
        <v>223</v>
      </c>
      <c r="B216" s="1">
        <v>1011</v>
      </c>
      <c r="C216" s="1">
        <v>4</v>
      </c>
      <c r="D216" s="1">
        <v>0.4</v>
      </c>
    </row>
    <row r="217" spans="1:4" x14ac:dyDescent="0.3">
      <c r="A217" s="1" t="s">
        <v>224</v>
      </c>
      <c r="B217" s="1">
        <v>1009</v>
      </c>
      <c r="C217" s="1">
        <v>4</v>
      </c>
      <c r="D217" s="1">
        <v>0.4</v>
      </c>
    </row>
    <row r="218" spans="1:4" x14ac:dyDescent="0.3">
      <c r="A218" s="1" t="s">
        <v>225</v>
      </c>
      <c r="B218" s="1">
        <v>756</v>
      </c>
      <c r="C218" s="1">
        <v>3</v>
      </c>
      <c r="D218" s="1">
        <v>0.4</v>
      </c>
    </row>
    <row r="219" spans="1:4" x14ac:dyDescent="0.3">
      <c r="A219" s="1" t="s">
        <v>226</v>
      </c>
      <c r="B219" s="1">
        <v>748</v>
      </c>
      <c r="C219" s="1">
        <v>3</v>
      </c>
      <c r="D219" s="1">
        <v>0.4</v>
      </c>
    </row>
    <row r="220" spans="1:4" x14ac:dyDescent="0.3">
      <c r="A220" s="1" t="s">
        <v>227</v>
      </c>
      <c r="B220" s="1">
        <v>742</v>
      </c>
      <c r="C220" s="1">
        <v>3</v>
      </c>
      <c r="D220" s="1">
        <v>0.4</v>
      </c>
    </row>
    <row r="221" spans="1:4" x14ac:dyDescent="0.3">
      <c r="A221" s="1" t="s">
        <v>228</v>
      </c>
      <c r="B221" s="1">
        <v>1027</v>
      </c>
      <c r="C221" s="1">
        <v>4</v>
      </c>
      <c r="D221" s="1">
        <v>0.39</v>
      </c>
    </row>
    <row r="222" spans="1:4" x14ac:dyDescent="0.3">
      <c r="A222" s="1" t="s">
        <v>229</v>
      </c>
      <c r="B222" s="1">
        <v>1020</v>
      </c>
      <c r="C222" s="1">
        <v>4</v>
      </c>
      <c r="D222" s="1">
        <v>0.39</v>
      </c>
    </row>
    <row r="223" spans="1:4" x14ac:dyDescent="0.3">
      <c r="A223" s="1" t="s">
        <v>230</v>
      </c>
      <c r="B223" s="1">
        <v>777</v>
      </c>
      <c r="C223" s="1">
        <v>3</v>
      </c>
      <c r="D223" s="1">
        <v>0.39</v>
      </c>
    </row>
    <row r="224" spans="1:4" x14ac:dyDescent="0.3">
      <c r="A224" s="1" t="s">
        <v>231</v>
      </c>
      <c r="B224" s="1">
        <v>773</v>
      </c>
      <c r="C224" s="1">
        <v>3</v>
      </c>
      <c r="D224" s="1">
        <v>0.39</v>
      </c>
    </row>
    <row r="225" spans="1:4" x14ac:dyDescent="0.3">
      <c r="A225" s="1" t="s">
        <v>232</v>
      </c>
      <c r="B225" s="1">
        <v>760</v>
      </c>
      <c r="C225" s="1">
        <v>3</v>
      </c>
      <c r="D225" s="1">
        <v>0.39</v>
      </c>
    </row>
    <row r="226" spans="1:4" x14ac:dyDescent="0.3">
      <c r="A226" s="1" t="s">
        <v>233</v>
      </c>
      <c r="B226" s="1">
        <v>1057</v>
      </c>
      <c r="C226" s="1">
        <v>4</v>
      </c>
      <c r="D226" s="1">
        <v>0.38</v>
      </c>
    </row>
    <row r="227" spans="1:4" x14ac:dyDescent="0.3">
      <c r="A227" s="1" t="s">
        <v>234</v>
      </c>
      <c r="B227" s="1">
        <v>1045</v>
      </c>
      <c r="C227" s="1">
        <v>4</v>
      </c>
      <c r="D227" s="1">
        <v>0.38</v>
      </c>
    </row>
    <row r="228" spans="1:4" x14ac:dyDescent="0.3">
      <c r="A228" s="1" t="s">
        <v>235</v>
      </c>
      <c r="B228" s="1">
        <v>796</v>
      </c>
      <c r="C228" s="1">
        <v>3</v>
      </c>
      <c r="D228" s="1">
        <v>0.38</v>
      </c>
    </row>
    <row r="229" spans="1:4" x14ac:dyDescent="0.3">
      <c r="A229" s="1" t="s">
        <v>236</v>
      </c>
      <c r="B229" s="1">
        <v>789</v>
      </c>
      <c r="C229" s="1">
        <v>3</v>
      </c>
      <c r="D229" s="1">
        <v>0.38</v>
      </c>
    </row>
    <row r="230" spans="1:4" x14ac:dyDescent="0.3">
      <c r="A230" s="1" t="s">
        <v>237</v>
      </c>
      <c r="B230" s="1">
        <v>787</v>
      </c>
      <c r="C230" s="1">
        <v>3</v>
      </c>
      <c r="D230" s="1">
        <v>0.38</v>
      </c>
    </row>
    <row r="231" spans="1:4" x14ac:dyDescent="0.3">
      <c r="A231" s="1" t="s">
        <v>238</v>
      </c>
      <c r="B231" s="1">
        <v>783</v>
      </c>
      <c r="C231" s="1">
        <v>3</v>
      </c>
      <c r="D231" s="1">
        <v>0.38</v>
      </c>
    </row>
    <row r="232" spans="1:4" x14ac:dyDescent="0.3">
      <c r="A232" s="1" t="s">
        <v>239</v>
      </c>
      <c r="B232" s="1">
        <v>530</v>
      </c>
      <c r="C232" s="1">
        <v>2</v>
      </c>
      <c r="D232" s="1">
        <v>0.38</v>
      </c>
    </row>
    <row r="233" spans="1:4" x14ac:dyDescent="0.3">
      <c r="A233" s="1" t="s">
        <v>240</v>
      </c>
      <c r="B233" s="1">
        <v>1089</v>
      </c>
      <c r="C233" s="1">
        <v>4</v>
      </c>
      <c r="D233" s="1">
        <v>0.37</v>
      </c>
    </row>
    <row r="234" spans="1:4" x14ac:dyDescent="0.3">
      <c r="A234" s="1" t="s">
        <v>241</v>
      </c>
      <c r="B234" s="1">
        <v>1078</v>
      </c>
      <c r="C234" s="1">
        <v>4</v>
      </c>
      <c r="D234" s="1">
        <v>0.37</v>
      </c>
    </row>
    <row r="235" spans="1:4" x14ac:dyDescent="0.3">
      <c r="A235" s="1" t="s">
        <v>242</v>
      </c>
      <c r="B235" s="1">
        <v>1071</v>
      </c>
      <c r="C235" s="1">
        <v>4</v>
      </c>
      <c r="D235" s="1">
        <v>0.37</v>
      </c>
    </row>
    <row r="236" spans="1:4" x14ac:dyDescent="0.3">
      <c r="A236" s="1" t="s">
        <v>243</v>
      </c>
      <c r="B236" s="1">
        <v>819</v>
      </c>
      <c r="C236" s="1">
        <v>3</v>
      </c>
      <c r="D236" s="1">
        <v>0.37</v>
      </c>
    </row>
    <row r="237" spans="1:4" x14ac:dyDescent="0.3">
      <c r="A237" s="1" t="s">
        <v>244</v>
      </c>
      <c r="B237" s="1">
        <v>808</v>
      </c>
      <c r="C237" s="1">
        <v>3</v>
      </c>
      <c r="D237" s="1">
        <v>0.37</v>
      </c>
    </row>
    <row r="238" spans="1:4" x14ac:dyDescent="0.3">
      <c r="A238" s="1" t="s">
        <v>245</v>
      </c>
      <c r="B238" s="1">
        <v>807</v>
      </c>
      <c r="C238" s="1">
        <v>3</v>
      </c>
      <c r="D238" s="1">
        <v>0.37</v>
      </c>
    </row>
    <row r="239" spans="1:4" x14ac:dyDescent="0.3">
      <c r="A239" s="1" t="s">
        <v>246</v>
      </c>
      <c r="B239" s="1">
        <v>1112</v>
      </c>
      <c r="C239" s="1">
        <v>4</v>
      </c>
      <c r="D239" s="1">
        <v>0.36</v>
      </c>
    </row>
    <row r="240" spans="1:4" x14ac:dyDescent="0.3">
      <c r="A240" s="1" t="s">
        <v>247</v>
      </c>
      <c r="B240" s="1">
        <v>1096</v>
      </c>
      <c r="C240" s="1">
        <v>4</v>
      </c>
      <c r="D240" s="1">
        <v>0.36</v>
      </c>
    </row>
    <row r="241" spans="1:4" x14ac:dyDescent="0.3">
      <c r="A241" s="1" t="s">
        <v>248</v>
      </c>
      <c r="B241" s="1">
        <v>561</v>
      </c>
      <c r="C241" s="1">
        <v>2</v>
      </c>
      <c r="D241" s="1">
        <v>0.36</v>
      </c>
    </row>
    <row r="242" spans="1:4" x14ac:dyDescent="0.3">
      <c r="A242" s="1" t="s">
        <v>249</v>
      </c>
      <c r="B242" s="1">
        <v>552</v>
      </c>
      <c r="C242" s="1">
        <v>2</v>
      </c>
      <c r="D242" s="1">
        <v>0.36</v>
      </c>
    </row>
    <row r="243" spans="1:4" x14ac:dyDescent="0.3">
      <c r="A243" s="1" t="s">
        <v>250</v>
      </c>
      <c r="B243" s="1">
        <v>1147</v>
      </c>
      <c r="C243" s="1">
        <v>4</v>
      </c>
      <c r="D243" s="1">
        <v>0.35</v>
      </c>
    </row>
    <row r="244" spans="1:4" x14ac:dyDescent="0.3">
      <c r="A244" s="1" t="s">
        <v>251</v>
      </c>
      <c r="B244" s="1">
        <v>1142</v>
      </c>
      <c r="C244" s="1">
        <v>4</v>
      </c>
      <c r="D244" s="1">
        <v>0.35</v>
      </c>
    </row>
    <row r="245" spans="1:4" x14ac:dyDescent="0.3">
      <c r="A245" s="1" t="s">
        <v>252</v>
      </c>
      <c r="B245" s="1">
        <v>1129</v>
      </c>
      <c r="C245" s="1">
        <v>4</v>
      </c>
      <c r="D245" s="1">
        <v>0.35</v>
      </c>
    </row>
    <row r="246" spans="1:4" x14ac:dyDescent="0.3">
      <c r="A246" s="1" t="s">
        <v>253</v>
      </c>
      <c r="B246" s="1">
        <v>1127</v>
      </c>
      <c r="C246" s="1">
        <v>4</v>
      </c>
      <c r="D246" s="1">
        <v>0.35</v>
      </c>
    </row>
    <row r="247" spans="1:4" x14ac:dyDescent="0.3">
      <c r="A247" s="1" t="s">
        <v>254</v>
      </c>
      <c r="B247" s="1">
        <v>582</v>
      </c>
      <c r="C247" s="1">
        <v>2</v>
      </c>
      <c r="D247" s="1">
        <v>0.34</v>
      </c>
    </row>
    <row r="248" spans="1:4" x14ac:dyDescent="0.3">
      <c r="A248" s="1" t="s">
        <v>255</v>
      </c>
      <c r="B248" s="1">
        <v>952</v>
      </c>
      <c r="C248" s="1">
        <v>3</v>
      </c>
      <c r="D248" s="1">
        <v>0.32</v>
      </c>
    </row>
    <row r="249" spans="1:4" x14ac:dyDescent="0.3">
      <c r="A249" s="1" t="s">
        <v>256</v>
      </c>
      <c r="B249" s="1">
        <v>933</v>
      </c>
      <c r="C249" s="1">
        <v>3</v>
      </c>
      <c r="D249" s="1">
        <v>0.32</v>
      </c>
    </row>
    <row r="250" spans="1:4" x14ac:dyDescent="0.3">
      <c r="A250" s="1" t="s">
        <v>257</v>
      </c>
      <c r="B250" s="1">
        <v>312</v>
      </c>
      <c r="C250" s="1">
        <v>1</v>
      </c>
      <c r="D250" s="1">
        <v>0.32</v>
      </c>
    </row>
    <row r="251" spans="1:4" x14ac:dyDescent="0.3">
      <c r="A251" s="1" t="s">
        <v>258</v>
      </c>
      <c r="B251" s="1">
        <v>1597</v>
      </c>
      <c r="C251" s="1">
        <v>5</v>
      </c>
      <c r="D251" s="1">
        <v>0.31</v>
      </c>
    </row>
    <row r="252" spans="1:4" x14ac:dyDescent="0.3">
      <c r="A252" s="1" t="s">
        <v>259</v>
      </c>
      <c r="B252" s="1">
        <v>981</v>
      </c>
      <c r="C252" s="1">
        <v>3</v>
      </c>
      <c r="D252" s="1">
        <v>0.31</v>
      </c>
    </row>
    <row r="253" spans="1:4" x14ac:dyDescent="0.3">
      <c r="A253" s="1" t="s">
        <v>260</v>
      </c>
      <c r="B253" s="1">
        <v>977</v>
      </c>
      <c r="C253" s="1">
        <v>3</v>
      </c>
      <c r="D253" s="1">
        <v>0.31</v>
      </c>
    </row>
    <row r="254" spans="1:4" x14ac:dyDescent="0.3">
      <c r="A254" s="1" t="s">
        <v>261</v>
      </c>
      <c r="B254" s="1">
        <v>968</v>
      </c>
      <c r="C254" s="1">
        <v>3</v>
      </c>
      <c r="D254" s="1">
        <v>0.31</v>
      </c>
    </row>
    <row r="255" spans="1:4" x14ac:dyDescent="0.3">
      <c r="A255" s="1" t="s">
        <v>262</v>
      </c>
      <c r="B255" s="1">
        <v>655</v>
      </c>
      <c r="C255" s="1">
        <v>2</v>
      </c>
      <c r="D255" s="1">
        <v>0.31</v>
      </c>
    </row>
    <row r="256" spans="1:4" x14ac:dyDescent="0.3">
      <c r="A256" s="1" t="s">
        <v>263</v>
      </c>
      <c r="B256" s="1">
        <v>327</v>
      </c>
      <c r="C256" s="1">
        <v>1</v>
      </c>
      <c r="D256" s="1">
        <v>0.31</v>
      </c>
    </row>
    <row r="257" spans="1:4" x14ac:dyDescent="0.3">
      <c r="A257" s="1" t="s">
        <v>264</v>
      </c>
      <c r="B257" s="1">
        <v>319</v>
      </c>
      <c r="C257" s="1">
        <v>1</v>
      </c>
      <c r="D257" s="1">
        <v>0.31</v>
      </c>
    </row>
    <row r="258" spans="1:4" x14ac:dyDescent="0.3">
      <c r="A258" s="1" t="s">
        <v>265</v>
      </c>
      <c r="B258" s="1">
        <v>1013</v>
      </c>
      <c r="C258" s="1">
        <v>3</v>
      </c>
      <c r="D258" s="1">
        <v>0.3</v>
      </c>
    </row>
    <row r="259" spans="1:4" x14ac:dyDescent="0.3">
      <c r="A259" s="1" t="s">
        <v>266</v>
      </c>
      <c r="B259" s="1">
        <v>1006</v>
      </c>
      <c r="C259" s="1">
        <v>3</v>
      </c>
      <c r="D259" s="1">
        <v>0.3</v>
      </c>
    </row>
    <row r="260" spans="1:4" x14ac:dyDescent="0.3">
      <c r="A260" s="1" t="s">
        <v>267</v>
      </c>
      <c r="B260" s="1">
        <v>993</v>
      </c>
      <c r="C260" s="1">
        <v>3</v>
      </c>
      <c r="D260" s="1">
        <v>0.3</v>
      </c>
    </row>
    <row r="261" spans="1:4" x14ac:dyDescent="0.3">
      <c r="A261" s="1" t="s">
        <v>268</v>
      </c>
      <c r="B261" s="1">
        <v>988</v>
      </c>
      <c r="C261" s="1">
        <v>3</v>
      </c>
      <c r="D261" s="1">
        <v>0.3</v>
      </c>
    </row>
    <row r="262" spans="1:4" x14ac:dyDescent="0.3">
      <c r="A262" s="1" t="s">
        <v>269</v>
      </c>
      <c r="B262" s="1">
        <v>671</v>
      </c>
      <c r="C262" s="1">
        <v>2</v>
      </c>
      <c r="D262" s="1">
        <v>0.3</v>
      </c>
    </row>
    <row r="263" spans="1:4" x14ac:dyDescent="0.3">
      <c r="A263" s="1" t="s">
        <v>270</v>
      </c>
      <c r="B263" s="1">
        <v>666</v>
      </c>
      <c r="C263" s="1">
        <v>2</v>
      </c>
      <c r="D263" s="1">
        <v>0.3</v>
      </c>
    </row>
    <row r="264" spans="1:4" x14ac:dyDescent="0.3">
      <c r="A264" s="1" t="s">
        <v>271</v>
      </c>
      <c r="B264" s="1">
        <v>337</v>
      </c>
      <c r="C264" s="1">
        <v>1</v>
      </c>
      <c r="D264" s="1">
        <v>0.3</v>
      </c>
    </row>
    <row r="265" spans="1:4" x14ac:dyDescent="0.3">
      <c r="A265" s="1" t="s">
        <v>272</v>
      </c>
      <c r="B265" s="1">
        <v>334</v>
      </c>
      <c r="C265" s="1">
        <v>1</v>
      </c>
      <c r="D265" s="1">
        <v>0.3</v>
      </c>
    </row>
    <row r="266" spans="1:4" x14ac:dyDescent="0.3">
      <c r="A266" s="1" t="s">
        <v>273</v>
      </c>
      <c r="B266" s="1">
        <v>334</v>
      </c>
      <c r="C266" s="1">
        <v>1</v>
      </c>
      <c r="D266" s="1">
        <v>0.3</v>
      </c>
    </row>
    <row r="267" spans="1:4" x14ac:dyDescent="0.3">
      <c r="A267" s="1" t="s">
        <v>274</v>
      </c>
      <c r="B267" s="1">
        <v>1051</v>
      </c>
      <c r="C267" s="1">
        <v>3</v>
      </c>
      <c r="D267" s="1">
        <v>0.28999999999999998</v>
      </c>
    </row>
    <row r="268" spans="1:4" x14ac:dyDescent="0.3">
      <c r="A268" s="1" t="s">
        <v>275</v>
      </c>
      <c r="B268" s="1">
        <v>1043</v>
      </c>
      <c r="C268" s="1">
        <v>3</v>
      </c>
      <c r="D268" s="1">
        <v>0.28999999999999998</v>
      </c>
    </row>
    <row r="269" spans="1:4" x14ac:dyDescent="0.3">
      <c r="A269" s="1" t="s">
        <v>276</v>
      </c>
      <c r="B269" s="1">
        <v>1042</v>
      </c>
      <c r="C269" s="1">
        <v>3</v>
      </c>
      <c r="D269" s="1">
        <v>0.28999999999999998</v>
      </c>
    </row>
    <row r="270" spans="1:4" x14ac:dyDescent="0.3">
      <c r="A270" s="1" t="s">
        <v>277</v>
      </c>
      <c r="B270" s="1">
        <v>1028</v>
      </c>
      <c r="C270" s="1">
        <v>3</v>
      </c>
      <c r="D270" s="1">
        <v>0.28999999999999998</v>
      </c>
    </row>
    <row r="271" spans="1:4" x14ac:dyDescent="0.3">
      <c r="A271" s="1" t="s">
        <v>278</v>
      </c>
      <c r="B271" s="1">
        <v>1019</v>
      </c>
      <c r="C271" s="1">
        <v>3</v>
      </c>
      <c r="D271" s="1">
        <v>0.28999999999999998</v>
      </c>
    </row>
    <row r="272" spans="1:4" x14ac:dyDescent="0.3">
      <c r="A272" s="1" t="s">
        <v>279</v>
      </c>
      <c r="B272" s="1">
        <v>695</v>
      </c>
      <c r="C272" s="1">
        <v>2</v>
      </c>
      <c r="D272" s="1">
        <v>0.28999999999999998</v>
      </c>
    </row>
    <row r="273" spans="1:4" x14ac:dyDescent="0.3">
      <c r="A273" s="1" t="s">
        <v>280</v>
      </c>
      <c r="B273" s="1">
        <v>685</v>
      </c>
      <c r="C273" s="1">
        <v>2</v>
      </c>
      <c r="D273" s="1">
        <v>0.28999999999999998</v>
      </c>
    </row>
    <row r="274" spans="1:4" x14ac:dyDescent="0.3">
      <c r="A274" s="1" t="s">
        <v>281</v>
      </c>
      <c r="B274" s="1">
        <v>683</v>
      </c>
      <c r="C274" s="1">
        <v>2</v>
      </c>
      <c r="D274" s="1">
        <v>0.28999999999999998</v>
      </c>
    </row>
    <row r="275" spans="1:4" x14ac:dyDescent="0.3">
      <c r="A275" s="1" t="s">
        <v>282</v>
      </c>
      <c r="B275" s="1">
        <v>680</v>
      </c>
      <c r="C275" s="1">
        <v>2</v>
      </c>
      <c r="D275" s="1">
        <v>0.28999999999999998</v>
      </c>
    </row>
    <row r="276" spans="1:4" x14ac:dyDescent="0.3">
      <c r="A276" s="1" t="s">
        <v>283</v>
      </c>
      <c r="B276" s="1">
        <v>679</v>
      </c>
      <c r="C276" s="1">
        <v>2</v>
      </c>
      <c r="D276" s="1">
        <v>0.28999999999999998</v>
      </c>
    </row>
    <row r="277" spans="1:4" x14ac:dyDescent="0.3">
      <c r="A277" s="1" t="s">
        <v>284</v>
      </c>
      <c r="B277" s="1">
        <v>349</v>
      </c>
      <c r="C277" s="1">
        <v>1</v>
      </c>
      <c r="D277" s="1">
        <v>0.28999999999999998</v>
      </c>
    </row>
    <row r="278" spans="1:4" x14ac:dyDescent="0.3">
      <c r="A278" s="1" t="s">
        <v>285</v>
      </c>
      <c r="B278" s="1">
        <v>348</v>
      </c>
      <c r="C278" s="1">
        <v>1</v>
      </c>
      <c r="D278" s="1">
        <v>0.28999999999999998</v>
      </c>
    </row>
    <row r="279" spans="1:4" x14ac:dyDescent="0.3">
      <c r="A279" s="1" t="s">
        <v>286</v>
      </c>
      <c r="B279" s="1">
        <v>347</v>
      </c>
      <c r="C279" s="1">
        <v>1</v>
      </c>
      <c r="D279" s="1">
        <v>0.28999999999999998</v>
      </c>
    </row>
    <row r="280" spans="1:4" x14ac:dyDescent="0.3">
      <c r="A280" s="1" t="s">
        <v>287</v>
      </c>
      <c r="B280" s="1">
        <v>343</v>
      </c>
      <c r="C280" s="1">
        <v>1</v>
      </c>
      <c r="D280" s="1">
        <v>0.28999999999999998</v>
      </c>
    </row>
    <row r="281" spans="1:4" x14ac:dyDescent="0.3">
      <c r="A281" s="1" t="s">
        <v>288</v>
      </c>
      <c r="B281" s="1">
        <v>340</v>
      </c>
      <c r="C281" s="1">
        <v>1</v>
      </c>
      <c r="D281" s="1">
        <v>0.28999999999999998</v>
      </c>
    </row>
    <row r="282" spans="1:4" x14ac:dyDescent="0.3">
      <c r="A282" s="1" t="s">
        <v>289</v>
      </c>
      <c r="B282" s="1">
        <v>339</v>
      </c>
      <c r="C282" s="1">
        <v>1</v>
      </c>
      <c r="D282" s="1">
        <v>0.28999999999999998</v>
      </c>
    </row>
    <row r="283" spans="1:4" x14ac:dyDescent="0.3">
      <c r="A283" s="1" t="s">
        <v>290</v>
      </c>
      <c r="B283" s="1">
        <v>1086</v>
      </c>
      <c r="C283" s="1">
        <v>3</v>
      </c>
      <c r="D283" s="1">
        <v>0.28000000000000003</v>
      </c>
    </row>
    <row r="284" spans="1:4" x14ac:dyDescent="0.3">
      <c r="A284" s="1" t="s">
        <v>291</v>
      </c>
      <c r="B284" s="1">
        <v>1083</v>
      </c>
      <c r="C284" s="1">
        <v>3</v>
      </c>
      <c r="D284" s="1">
        <v>0.28000000000000003</v>
      </c>
    </row>
    <row r="285" spans="1:4" x14ac:dyDescent="0.3">
      <c r="A285" s="1" t="s">
        <v>292</v>
      </c>
      <c r="B285" s="1">
        <v>1054</v>
      </c>
      <c r="C285" s="1">
        <v>3</v>
      </c>
      <c r="D285" s="1">
        <v>0.28000000000000003</v>
      </c>
    </row>
    <row r="286" spans="1:4" x14ac:dyDescent="0.3">
      <c r="A286" s="1" t="s">
        <v>293</v>
      </c>
      <c r="B286" s="1">
        <v>726</v>
      </c>
      <c r="C286" s="1">
        <v>2</v>
      </c>
      <c r="D286" s="1">
        <v>0.28000000000000003</v>
      </c>
    </row>
    <row r="287" spans="1:4" x14ac:dyDescent="0.3">
      <c r="A287" s="1" t="s">
        <v>294</v>
      </c>
      <c r="B287" s="1">
        <v>725</v>
      </c>
      <c r="C287" s="1">
        <v>2</v>
      </c>
      <c r="D287" s="1">
        <v>0.28000000000000003</v>
      </c>
    </row>
    <row r="288" spans="1:4" x14ac:dyDescent="0.3">
      <c r="A288" s="1" t="s">
        <v>295</v>
      </c>
      <c r="B288" s="1">
        <v>713</v>
      </c>
      <c r="C288" s="1">
        <v>2</v>
      </c>
      <c r="D288" s="1">
        <v>0.28000000000000003</v>
      </c>
    </row>
    <row r="289" spans="1:4" x14ac:dyDescent="0.3">
      <c r="A289" s="1" t="s">
        <v>296</v>
      </c>
      <c r="B289" s="1">
        <v>710</v>
      </c>
      <c r="C289" s="1">
        <v>2</v>
      </c>
      <c r="D289" s="1">
        <v>0.28000000000000003</v>
      </c>
    </row>
    <row r="290" spans="1:4" x14ac:dyDescent="0.3">
      <c r="A290" s="1" t="s">
        <v>297</v>
      </c>
      <c r="B290" s="1">
        <v>359</v>
      </c>
      <c r="C290" s="1">
        <v>1</v>
      </c>
      <c r="D290" s="1">
        <v>0.28000000000000003</v>
      </c>
    </row>
    <row r="291" spans="1:4" x14ac:dyDescent="0.3">
      <c r="A291" s="1" t="s">
        <v>298</v>
      </c>
      <c r="B291" s="1">
        <v>359</v>
      </c>
      <c r="C291" s="1">
        <v>1</v>
      </c>
      <c r="D291" s="1">
        <v>0.28000000000000003</v>
      </c>
    </row>
    <row r="292" spans="1:4" x14ac:dyDescent="0.3">
      <c r="A292" s="1" t="s">
        <v>299</v>
      </c>
      <c r="B292" s="1">
        <v>357</v>
      </c>
      <c r="C292" s="1">
        <v>1</v>
      </c>
      <c r="D292" s="1">
        <v>0.28000000000000003</v>
      </c>
    </row>
    <row r="293" spans="1:4" x14ac:dyDescent="0.3">
      <c r="A293" s="1" t="s">
        <v>300</v>
      </c>
      <c r="B293" s="1">
        <v>352</v>
      </c>
      <c r="C293" s="1">
        <v>1</v>
      </c>
      <c r="D293" s="1">
        <v>0.28000000000000003</v>
      </c>
    </row>
    <row r="294" spans="1:4" x14ac:dyDescent="0.3">
      <c r="A294" s="1" t="s">
        <v>301</v>
      </c>
      <c r="B294" s="1">
        <v>1130</v>
      </c>
      <c r="C294" s="1">
        <v>3</v>
      </c>
      <c r="D294" s="1">
        <v>0.27</v>
      </c>
    </row>
    <row r="295" spans="1:4" x14ac:dyDescent="0.3">
      <c r="A295" s="1" t="s">
        <v>302</v>
      </c>
      <c r="B295" s="1">
        <v>1127</v>
      </c>
      <c r="C295" s="1">
        <v>3</v>
      </c>
      <c r="D295" s="1">
        <v>0.27</v>
      </c>
    </row>
    <row r="296" spans="1:4" x14ac:dyDescent="0.3">
      <c r="A296" s="1" t="s">
        <v>303</v>
      </c>
      <c r="B296" s="1">
        <v>1102</v>
      </c>
      <c r="C296" s="1">
        <v>3</v>
      </c>
      <c r="D296" s="1">
        <v>0.27</v>
      </c>
    </row>
    <row r="297" spans="1:4" x14ac:dyDescent="0.3">
      <c r="A297" s="1" t="s">
        <v>304</v>
      </c>
      <c r="B297" s="1">
        <v>1101</v>
      </c>
      <c r="C297" s="1">
        <v>3</v>
      </c>
      <c r="D297" s="1">
        <v>0.27</v>
      </c>
    </row>
    <row r="298" spans="1:4" x14ac:dyDescent="0.3">
      <c r="A298" s="1" t="s">
        <v>305</v>
      </c>
      <c r="B298" s="1">
        <v>1099</v>
      </c>
      <c r="C298" s="1">
        <v>3</v>
      </c>
      <c r="D298" s="1">
        <v>0.27</v>
      </c>
    </row>
    <row r="299" spans="1:4" x14ac:dyDescent="0.3">
      <c r="A299" s="1" t="s">
        <v>306</v>
      </c>
      <c r="B299" s="1">
        <v>1094</v>
      </c>
      <c r="C299" s="1">
        <v>3</v>
      </c>
      <c r="D299" s="1">
        <v>0.27</v>
      </c>
    </row>
    <row r="300" spans="1:4" x14ac:dyDescent="0.3">
      <c r="A300" s="1" t="s">
        <v>307</v>
      </c>
      <c r="B300" s="1">
        <v>752</v>
      </c>
      <c r="C300" s="1">
        <v>2</v>
      </c>
      <c r="D300" s="1">
        <v>0.27</v>
      </c>
    </row>
    <row r="301" spans="1:4" x14ac:dyDescent="0.3">
      <c r="A301" s="1" t="s">
        <v>308</v>
      </c>
      <c r="B301" s="1">
        <v>747</v>
      </c>
      <c r="C301" s="1">
        <v>2</v>
      </c>
      <c r="D301" s="1">
        <v>0.27</v>
      </c>
    </row>
    <row r="302" spans="1:4" x14ac:dyDescent="0.3">
      <c r="A302" s="1" t="s">
        <v>309</v>
      </c>
      <c r="B302" s="1">
        <v>742</v>
      </c>
      <c r="C302" s="1">
        <v>2</v>
      </c>
      <c r="D302" s="1">
        <v>0.27</v>
      </c>
    </row>
    <row r="303" spans="1:4" x14ac:dyDescent="0.3">
      <c r="A303" s="1" t="s">
        <v>310</v>
      </c>
      <c r="B303" s="1">
        <v>737</v>
      </c>
      <c r="C303" s="1">
        <v>2</v>
      </c>
      <c r="D303" s="1">
        <v>0.27</v>
      </c>
    </row>
    <row r="304" spans="1:4" x14ac:dyDescent="0.3">
      <c r="A304" s="1" t="s">
        <v>311</v>
      </c>
      <c r="B304" s="1">
        <v>736</v>
      </c>
      <c r="C304" s="1">
        <v>2</v>
      </c>
      <c r="D304" s="1">
        <v>0.27</v>
      </c>
    </row>
    <row r="305" spans="1:4" x14ac:dyDescent="0.3">
      <c r="A305" s="1" t="s">
        <v>312</v>
      </c>
      <c r="B305" s="1">
        <v>735</v>
      </c>
      <c r="C305" s="1">
        <v>2</v>
      </c>
      <c r="D305" s="1">
        <v>0.27</v>
      </c>
    </row>
    <row r="306" spans="1:4" x14ac:dyDescent="0.3">
      <c r="A306" s="1" t="s">
        <v>313</v>
      </c>
      <c r="B306" s="1">
        <v>733</v>
      </c>
      <c r="C306" s="1">
        <v>2</v>
      </c>
      <c r="D306" s="1">
        <v>0.27</v>
      </c>
    </row>
    <row r="307" spans="1:4" x14ac:dyDescent="0.3">
      <c r="A307" s="1" t="s">
        <v>314</v>
      </c>
      <c r="B307" s="1">
        <v>733</v>
      </c>
      <c r="C307" s="1">
        <v>2</v>
      </c>
      <c r="D307" s="1">
        <v>0.27</v>
      </c>
    </row>
    <row r="308" spans="1:4" x14ac:dyDescent="0.3">
      <c r="A308" s="1" t="s">
        <v>315</v>
      </c>
      <c r="B308" s="1">
        <v>730</v>
      </c>
      <c r="C308" s="1">
        <v>2</v>
      </c>
      <c r="D308" s="1">
        <v>0.27</v>
      </c>
    </row>
    <row r="309" spans="1:4" x14ac:dyDescent="0.3">
      <c r="A309" s="1" t="s">
        <v>316</v>
      </c>
      <c r="B309" s="1">
        <v>376</v>
      </c>
      <c r="C309" s="1">
        <v>1</v>
      </c>
      <c r="D309" s="1">
        <v>0.27</v>
      </c>
    </row>
    <row r="310" spans="1:4" x14ac:dyDescent="0.3">
      <c r="A310" s="1" t="s">
        <v>317</v>
      </c>
      <c r="B310" s="1">
        <v>375</v>
      </c>
      <c r="C310" s="1">
        <v>1</v>
      </c>
      <c r="D310" s="1">
        <v>0.27</v>
      </c>
    </row>
    <row r="311" spans="1:4" x14ac:dyDescent="0.3">
      <c r="A311" s="1" t="s">
        <v>318</v>
      </c>
      <c r="B311" s="1">
        <v>374</v>
      </c>
      <c r="C311" s="1">
        <v>1</v>
      </c>
      <c r="D311" s="1">
        <v>0.27</v>
      </c>
    </row>
    <row r="312" spans="1:4" x14ac:dyDescent="0.3">
      <c r="A312" s="1" t="s">
        <v>319</v>
      </c>
      <c r="B312" s="1">
        <v>373</v>
      </c>
      <c r="C312" s="1">
        <v>1</v>
      </c>
      <c r="D312" s="1">
        <v>0.27</v>
      </c>
    </row>
    <row r="313" spans="1:4" x14ac:dyDescent="0.3">
      <c r="A313" s="1" t="s">
        <v>320</v>
      </c>
      <c r="B313" s="1">
        <v>370</v>
      </c>
      <c r="C313" s="1">
        <v>1</v>
      </c>
      <c r="D313" s="1">
        <v>0.27</v>
      </c>
    </row>
    <row r="314" spans="1:4" x14ac:dyDescent="0.3">
      <c r="A314" s="1" t="s">
        <v>321</v>
      </c>
      <c r="B314" s="1">
        <v>369</v>
      </c>
      <c r="C314" s="1">
        <v>1</v>
      </c>
      <c r="D314" s="1">
        <v>0.27</v>
      </c>
    </row>
    <row r="315" spans="1:4" x14ac:dyDescent="0.3">
      <c r="A315" s="1" t="s">
        <v>322</v>
      </c>
      <c r="B315" s="1">
        <v>366</v>
      </c>
      <c r="C315" s="1">
        <v>1</v>
      </c>
      <c r="D315" s="1">
        <v>0.27</v>
      </c>
    </row>
    <row r="316" spans="1:4" x14ac:dyDescent="0.3">
      <c r="A316" s="1" t="s">
        <v>323</v>
      </c>
      <c r="B316" s="1">
        <v>365</v>
      </c>
      <c r="C316" s="1">
        <v>1</v>
      </c>
      <c r="D316" s="1">
        <v>0.27</v>
      </c>
    </row>
    <row r="317" spans="1:4" x14ac:dyDescent="0.3">
      <c r="A317" s="1" t="s">
        <v>324</v>
      </c>
      <c r="B317" s="1">
        <v>365</v>
      </c>
      <c r="C317" s="1">
        <v>1</v>
      </c>
      <c r="D317" s="1">
        <v>0.27</v>
      </c>
    </row>
    <row r="318" spans="1:4" x14ac:dyDescent="0.3">
      <c r="A318" s="1" t="s">
        <v>325</v>
      </c>
      <c r="B318" s="1">
        <v>364</v>
      </c>
      <c r="C318" s="1">
        <v>1</v>
      </c>
      <c r="D318" s="1">
        <v>0.27</v>
      </c>
    </row>
    <row r="319" spans="1:4" x14ac:dyDescent="0.3">
      <c r="A319" s="1" t="s">
        <v>326</v>
      </c>
      <c r="B319" s="1">
        <v>1168</v>
      </c>
      <c r="C319" s="1">
        <v>3</v>
      </c>
      <c r="D319" s="1">
        <v>0.26</v>
      </c>
    </row>
    <row r="320" spans="1:4" x14ac:dyDescent="0.3">
      <c r="A320" s="1" t="s">
        <v>327</v>
      </c>
      <c r="B320" s="1">
        <v>1165</v>
      </c>
      <c r="C320" s="1">
        <v>3</v>
      </c>
      <c r="D320" s="1">
        <v>0.26</v>
      </c>
    </row>
    <row r="321" spans="1:4" x14ac:dyDescent="0.3">
      <c r="A321" s="1" t="s">
        <v>328</v>
      </c>
      <c r="B321" s="1">
        <v>1154</v>
      </c>
      <c r="C321" s="1">
        <v>3</v>
      </c>
      <c r="D321" s="1">
        <v>0.26</v>
      </c>
    </row>
    <row r="322" spans="1:4" x14ac:dyDescent="0.3">
      <c r="A322" s="1" t="s">
        <v>329</v>
      </c>
      <c r="B322" s="1">
        <v>1145</v>
      </c>
      <c r="C322" s="1">
        <v>3</v>
      </c>
      <c r="D322" s="1">
        <v>0.26</v>
      </c>
    </row>
    <row r="323" spans="1:4" x14ac:dyDescent="0.3">
      <c r="A323" s="1" t="s">
        <v>330</v>
      </c>
      <c r="B323" s="1">
        <v>1142</v>
      </c>
      <c r="C323" s="1">
        <v>3</v>
      </c>
      <c r="D323" s="1">
        <v>0.26</v>
      </c>
    </row>
    <row r="324" spans="1:4" x14ac:dyDescent="0.3">
      <c r="A324" s="1" t="s">
        <v>331</v>
      </c>
      <c r="B324" s="1">
        <v>1138</v>
      </c>
      <c r="C324" s="1">
        <v>3</v>
      </c>
      <c r="D324" s="1">
        <v>0.26</v>
      </c>
    </row>
    <row r="325" spans="1:4" x14ac:dyDescent="0.3">
      <c r="A325" s="1" t="s">
        <v>332</v>
      </c>
      <c r="B325" s="1">
        <v>781</v>
      </c>
      <c r="C325" s="1">
        <v>2</v>
      </c>
      <c r="D325" s="1">
        <v>0.26</v>
      </c>
    </row>
    <row r="326" spans="1:4" x14ac:dyDescent="0.3">
      <c r="A326" s="1" t="s">
        <v>333</v>
      </c>
      <c r="B326" s="1">
        <v>775</v>
      </c>
      <c r="C326" s="1">
        <v>2</v>
      </c>
      <c r="D326" s="1">
        <v>0.26</v>
      </c>
    </row>
    <row r="327" spans="1:4" x14ac:dyDescent="0.3">
      <c r="A327" s="1" t="s">
        <v>334</v>
      </c>
      <c r="B327" s="1">
        <v>775</v>
      </c>
      <c r="C327" s="1">
        <v>2</v>
      </c>
      <c r="D327" s="1">
        <v>0.26</v>
      </c>
    </row>
    <row r="328" spans="1:4" x14ac:dyDescent="0.3">
      <c r="A328" s="1" t="s">
        <v>335</v>
      </c>
      <c r="B328" s="1">
        <v>774</v>
      </c>
      <c r="C328" s="1">
        <v>2</v>
      </c>
      <c r="D328" s="1">
        <v>0.26</v>
      </c>
    </row>
    <row r="329" spans="1:4" x14ac:dyDescent="0.3">
      <c r="A329" s="1" t="s">
        <v>336</v>
      </c>
      <c r="B329" s="1">
        <v>770</v>
      </c>
      <c r="C329" s="1">
        <v>2</v>
      </c>
      <c r="D329" s="1">
        <v>0.26</v>
      </c>
    </row>
    <row r="330" spans="1:4" x14ac:dyDescent="0.3">
      <c r="A330" s="1" t="s">
        <v>337</v>
      </c>
      <c r="B330" s="1">
        <v>770</v>
      </c>
      <c r="C330" s="1">
        <v>2</v>
      </c>
      <c r="D330" s="1">
        <v>0.26</v>
      </c>
    </row>
    <row r="331" spans="1:4" x14ac:dyDescent="0.3">
      <c r="A331" s="1" t="s">
        <v>338</v>
      </c>
      <c r="B331" s="1">
        <v>769</v>
      </c>
      <c r="C331" s="1">
        <v>2</v>
      </c>
      <c r="D331" s="1">
        <v>0.26</v>
      </c>
    </row>
    <row r="332" spans="1:4" x14ac:dyDescent="0.3">
      <c r="A332" s="1" t="s">
        <v>339</v>
      </c>
      <c r="B332" s="1">
        <v>769</v>
      </c>
      <c r="C332" s="1">
        <v>2</v>
      </c>
      <c r="D332" s="1">
        <v>0.26</v>
      </c>
    </row>
    <row r="333" spans="1:4" x14ac:dyDescent="0.3">
      <c r="A333" s="1" t="s">
        <v>340</v>
      </c>
      <c r="B333" s="1">
        <v>766</v>
      </c>
      <c r="C333" s="1">
        <v>2</v>
      </c>
      <c r="D333" s="1">
        <v>0.26</v>
      </c>
    </row>
    <row r="334" spans="1:4" x14ac:dyDescent="0.3">
      <c r="A334" s="1" t="s">
        <v>341</v>
      </c>
      <c r="B334" s="1">
        <v>766</v>
      </c>
      <c r="C334" s="1">
        <v>2</v>
      </c>
      <c r="D334" s="1">
        <v>0.26</v>
      </c>
    </row>
    <row r="335" spans="1:4" x14ac:dyDescent="0.3">
      <c r="A335" s="1" t="s">
        <v>342</v>
      </c>
      <c r="B335" s="1">
        <v>764</v>
      </c>
      <c r="C335" s="1">
        <v>2</v>
      </c>
      <c r="D335" s="1">
        <v>0.26</v>
      </c>
    </row>
    <row r="336" spans="1:4" x14ac:dyDescent="0.3">
      <c r="A336" s="1" t="s">
        <v>343</v>
      </c>
      <c r="B336" s="1">
        <v>762</v>
      </c>
      <c r="C336" s="1">
        <v>2</v>
      </c>
      <c r="D336" s="1">
        <v>0.26</v>
      </c>
    </row>
    <row r="337" spans="1:4" x14ac:dyDescent="0.3">
      <c r="A337" s="1" t="s">
        <v>344</v>
      </c>
      <c r="B337" s="1">
        <v>762</v>
      </c>
      <c r="C337" s="1">
        <v>2</v>
      </c>
      <c r="D337" s="1">
        <v>0.26</v>
      </c>
    </row>
    <row r="338" spans="1:4" x14ac:dyDescent="0.3">
      <c r="A338" s="1" t="s">
        <v>345</v>
      </c>
      <c r="B338" s="1">
        <v>760</v>
      </c>
      <c r="C338" s="1">
        <v>2</v>
      </c>
      <c r="D338" s="1">
        <v>0.26</v>
      </c>
    </row>
    <row r="339" spans="1:4" x14ac:dyDescent="0.3">
      <c r="A339" s="1" t="s">
        <v>346</v>
      </c>
      <c r="B339" s="1">
        <v>757</v>
      </c>
      <c r="C339" s="1">
        <v>2</v>
      </c>
      <c r="D339" s="1">
        <v>0.26</v>
      </c>
    </row>
    <row r="340" spans="1:4" x14ac:dyDescent="0.3">
      <c r="A340" s="1" t="s">
        <v>347</v>
      </c>
      <c r="B340" s="1">
        <v>757</v>
      </c>
      <c r="C340" s="1">
        <v>2</v>
      </c>
      <c r="D340" s="1">
        <v>0.26</v>
      </c>
    </row>
    <row r="341" spans="1:4" x14ac:dyDescent="0.3">
      <c r="A341" s="1" t="s">
        <v>348</v>
      </c>
      <c r="B341" s="1">
        <v>392</v>
      </c>
      <c r="C341" s="1">
        <v>1</v>
      </c>
      <c r="D341" s="1">
        <v>0.26</v>
      </c>
    </row>
    <row r="342" spans="1:4" x14ac:dyDescent="0.3">
      <c r="A342" s="1" t="s">
        <v>349</v>
      </c>
      <c r="B342" s="1">
        <v>387</v>
      </c>
      <c r="C342" s="1">
        <v>1</v>
      </c>
      <c r="D342" s="1">
        <v>0.26</v>
      </c>
    </row>
    <row r="343" spans="1:4" x14ac:dyDescent="0.3">
      <c r="A343" s="1" t="s">
        <v>350</v>
      </c>
      <c r="B343" s="1">
        <v>386</v>
      </c>
      <c r="C343" s="1">
        <v>1</v>
      </c>
      <c r="D343" s="1">
        <v>0.26</v>
      </c>
    </row>
    <row r="344" spans="1:4" x14ac:dyDescent="0.3">
      <c r="A344" s="1" t="s">
        <v>351</v>
      </c>
      <c r="B344" s="1">
        <v>383</v>
      </c>
      <c r="C344" s="1">
        <v>1</v>
      </c>
      <c r="D344" s="1">
        <v>0.26</v>
      </c>
    </row>
    <row r="345" spans="1:4" x14ac:dyDescent="0.3">
      <c r="A345" s="1" t="s">
        <v>352</v>
      </c>
      <c r="B345" s="1">
        <v>378</v>
      </c>
      <c r="C345" s="1">
        <v>1</v>
      </c>
      <c r="D345" s="1">
        <v>0.26</v>
      </c>
    </row>
    <row r="346" spans="1:4" x14ac:dyDescent="0.3">
      <c r="A346" s="1" t="s">
        <v>353</v>
      </c>
      <c r="B346" s="1">
        <v>813</v>
      </c>
      <c r="C346" s="1">
        <v>2</v>
      </c>
      <c r="D346" s="1">
        <v>0.25</v>
      </c>
    </row>
    <row r="347" spans="1:4" x14ac:dyDescent="0.3">
      <c r="A347" s="1" t="s">
        <v>354</v>
      </c>
      <c r="B347" s="1">
        <v>812</v>
      </c>
      <c r="C347" s="1">
        <v>2</v>
      </c>
      <c r="D347" s="1">
        <v>0.25</v>
      </c>
    </row>
    <row r="348" spans="1:4" x14ac:dyDescent="0.3">
      <c r="A348" s="1" t="s">
        <v>355</v>
      </c>
      <c r="B348" s="1">
        <v>809</v>
      </c>
      <c r="C348" s="1">
        <v>2</v>
      </c>
      <c r="D348" s="1">
        <v>0.25</v>
      </c>
    </row>
    <row r="349" spans="1:4" x14ac:dyDescent="0.3">
      <c r="A349" s="1" t="s">
        <v>356</v>
      </c>
      <c r="B349" s="1">
        <v>805</v>
      </c>
      <c r="C349" s="1">
        <v>2</v>
      </c>
      <c r="D349" s="1">
        <v>0.25</v>
      </c>
    </row>
    <row r="350" spans="1:4" x14ac:dyDescent="0.3">
      <c r="A350" s="1" t="s">
        <v>357</v>
      </c>
      <c r="B350" s="1">
        <v>800</v>
      </c>
      <c r="C350" s="1">
        <v>2</v>
      </c>
      <c r="D350" s="1">
        <v>0.25</v>
      </c>
    </row>
    <row r="351" spans="1:4" x14ac:dyDescent="0.3">
      <c r="A351" s="1" t="s">
        <v>358</v>
      </c>
      <c r="B351" s="1">
        <v>800</v>
      </c>
      <c r="C351" s="1">
        <v>2</v>
      </c>
      <c r="D351" s="1">
        <v>0.25</v>
      </c>
    </row>
    <row r="352" spans="1:4" x14ac:dyDescent="0.3">
      <c r="A352" s="1" t="s">
        <v>359</v>
      </c>
      <c r="B352" s="1">
        <v>788</v>
      </c>
      <c r="C352" s="1">
        <v>2</v>
      </c>
      <c r="D352" s="1">
        <v>0.25</v>
      </c>
    </row>
    <row r="353" spans="1:4" x14ac:dyDescent="0.3">
      <c r="A353" s="1" t="s">
        <v>360</v>
      </c>
      <c r="B353" s="1">
        <v>785</v>
      </c>
      <c r="C353" s="1">
        <v>2</v>
      </c>
      <c r="D353" s="1">
        <v>0.25</v>
      </c>
    </row>
    <row r="354" spans="1:4" x14ac:dyDescent="0.3">
      <c r="A354" s="1" t="s">
        <v>361</v>
      </c>
      <c r="B354" s="1">
        <v>407</v>
      </c>
      <c r="C354" s="1">
        <v>1</v>
      </c>
      <c r="D354" s="1">
        <v>0.25</v>
      </c>
    </row>
    <row r="355" spans="1:4" x14ac:dyDescent="0.3">
      <c r="A355" s="1" t="s">
        <v>362</v>
      </c>
      <c r="B355" s="1">
        <v>407</v>
      </c>
      <c r="C355" s="1">
        <v>1</v>
      </c>
      <c r="D355" s="1">
        <v>0.25</v>
      </c>
    </row>
    <row r="356" spans="1:4" x14ac:dyDescent="0.3">
      <c r="A356" s="1" t="s">
        <v>363</v>
      </c>
      <c r="B356" s="1">
        <v>397</v>
      </c>
      <c r="C356" s="1">
        <v>1</v>
      </c>
      <c r="D356" s="1">
        <v>0.25</v>
      </c>
    </row>
    <row r="357" spans="1:4" x14ac:dyDescent="0.3">
      <c r="A357" s="1" t="s">
        <v>364</v>
      </c>
      <c r="B357" s="1">
        <v>397</v>
      </c>
      <c r="C357" s="1">
        <v>1</v>
      </c>
      <c r="D357" s="1">
        <v>0.25</v>
      </c>
    </row>
    <row r="358" spans="1:4" x14ac:dyDescent="0.3">
      <c r="A358" s="1" t="s">
        <v>365</v>
      </c>
      <c r="B358" s="1">
        <v>396</v>
      </c>
      <c r="C358" s="1">
        <v>1</v>
      </c>
      <c r="D358" s="1">
        <v>0.25</v>
      </c>
    </row>
    <row r="359" spans="1:4" x14ac:dyDescent="0.3">
      <c r="A359" s="1" t="s">
        <v>366</v>
      </c>
      <c r="B359" s="1">
        <v>396</v>
      </c>
      <c r="C359" s="1">
        <v>1</v>
      </c>
      <c r="D359" s="1">
        <v>0.25</v>
      </c>
    </row>
    <row r="360" spans="1:4" x14ac:dyDescent="0.3">
      <c r="A360" s="1" t="s">
        <v>367</v>
      </c>
      <c r="B360" s="1">
        <v>394</v>
      </c>
      <c r="C360" s="1">
        <v>1</v>
      </c>
      <c r="D360" s="1">
        <v>0.25</v>
      </c>
    </row>
    <row r="361" spans="1:4" x14ac:dyDescent="0.3">
      <c r="A361" s="1" t="s">
        <v>368</v>
      </c>
      <c r="B361" s="1">
        <v>841</v>
      </c>
      <c r="C361" s="1">
        <v>2</v>
      </c>
      <c r="D361" s="1">
        <v>0.24</v>
      </c>
    </row>
    <row r="362" spans="1:4" x14ac:dyDescent="0.3">
      <c r="A362" s="1" t="s">
        <v>369</v>
      </c>
      <c r="B362" s="1">
        <v>838</v>
      </c>
      <c r="C362" s="1">
        <v>2</v>
      </c>
      <c r="D362" s="1">
        <v>0.24</v>
      </c>
    </row>
    <row r="363" spans="1:4" x14ac:dyDescent="0.3">
      <c r="A363" s="1" t="s">
        <v>370</v>
      </c>
      <c r="B363" s="1">
        <v>823</v>
      </c>
      <c r="C363" s="1">
        <v>2</v>
      </c>
      <c r="D363" s="1">
        <v>0.24</v>
      </c>
    </row>
    <row r="364" spans="1:4" x14ac:dyDescent="0.3">
      <c r="A364" s="1" t="s">
        <v>371</v>
      </c>
      <c r="B364" s="1">
        <v>822</v>
      </c>
      <c r="C364" s="1">
        <v>2</v>
      </c>
      <c r="D364" s="1">
        <v>0.24</v>
      </c>
    </row>
    <row r="365" spans="1:4" x14ac:dyDescent="0.3">
      <c r="A365" s="1" t="s">
        <v>372</v>
      </c>
      <c r="B365" s="1">
        <v>822</v>
      </c>
      <c r="C365" s="1">
        <v>2</v>
      </c>
      <c r="D365" s="1">
        <v>0.24</v>
      </c>
    </row>
    <row r="366" spans="1:4" x14ac:dyDescent="0.3">
      <c r="A366" s="1" t="s">
        <v>373</v>
      </c>
      <c r="B366" s="1">
        <v>820</v>
      </c>
      <c r="C366" s="1">
        <v>2</v>
      </c>
      <c r="D366" s="1">
        <v>0.24</v>
      </c>
    </row>
    <row r="367" spans="1:4" x14ac:dyDescent="0.3">
      <c r="A367" s="1" t="s">
        <v>374</v>
      </c>
      <c r="B367" s="1">
        <v>418</v>
      </c>
      <c r="C367" s="1">
        <v>1</v>
      </c>
      <c r="D367" s="1">
        <v>0.24</v>
      </c>
    </row>
    <row r="368" spans="1:4" x14ac:dyDescent="0.3">
      <c r="A368" s="1" t="s">
        <v>375</v>
      </c>
      <c r="B368" s="1">
        <v>415</v>
      </c>
      <c r="C368" s="1">
        <v>1</v>
      </c>
      <c r="D368" s="1">
        <v>0.24</v>
      </c>
    </row>
    <row r="369" spans="1:4" x14ac:dyDescent="0.3">
      <c r="A369" s="1" t="s">
        <v>376</v>
      </c>
      <c r="B369" s="1">
        <v>414</v>
      </c>
      <c r="C369" s="1">
        <v>1</v>
      </c>
      <c r="D369" s="1">
        <v>0.24</v>
      </c>
    </row>
    <row r="370" spans="1:4" x14ac:dyDescent="0.3">
      <c r="A370" s="1" t="s">
        <v>377</v>
      </c>
      <c r="B370" s="1">
        <v>411</v>
      </c>
      <c r="C370" s="1">
        <v>1</v>
      </c>
      <c r="D370" s="1">
        <v>0.24</v>
      </c>
    </row>
    <row r="371" spans="1:4" x14ac:dyDescent="0.3">
      <c r="A371" s="1" t="s">
        <v>378</v>
      </c>
      <c r="B371" s="1">
        <v>429</v>
      </c>
      <c r="C371" s="1">
        <v>1</v>
      </c>
      <c r="D371" s="1">
        <v>0.23</v>
      </c>
    </row>
    <row r="372" spans="1:4" x14ac:dyDescent="0.3">
      <c r="A372" s="1" t="s">
        <v>379</v>
      </c>
      <c r="B372" s="1">
        <v>967</v>
      </c>
      <c r="C372" s="1">
        <v>2</v>
      </c>
      <c r="D372" s="1">
        <v>0.21</v>
      </c>
    </row>
    <row r="373" spans="1:4" x14ac:dyDescent="0.3">
      <c r="A373" s="1" t="s">
        <v>380</v>
      </c>
      <c r="B373" s="1">
        <v>963</v>
      </c>
      <c r="C373" s="1">
        <v>2</v>
      </c>
      <c r="D373" s="1">
        <v>0.21</v>
      </c>
    </row>
    <row r="374" spans="1:4" x14ac:dyDescent="0.3">
      <c r="A374" s="1" t="s">
        <v>381</v>
      </c>
      <c r="B374" s="1">
        <v>961</v>
      </c>
      <c r="C374" s="1">
        <v>2</v>
      </c>
      <c r="D374" s="1">
        <v>0.21</v>
      </c>
    </row>
    <row r="375" spans="1:4" x14ac:dyDescent="0.3">
      <c r="A375" s="1" t="s">
        <v>382</v>
      </c>
      <c r="B375" s="1">
        <v>960</v>
      </c>
      <c r="C375" s="1">
        <v>2</v>
      </c>
      <c r="D375" s="1">
        <v>0.21</v>
      </c>
    </row>
    <row r="376" spans="1:4" x14ac:dyDescent="0.3">
      <c r="A376" s="1" t="s">
        <v>383</v>
      </c>
      <c r="B376" s="1">
        <v>954</v>
      </c>
      <c r="C376" s="1">
        <v>2</v>
      </c>
      <c r="D376" s="1">
        <v>0.21</v>
      </c>
    </row>
    <row r="377" spans="1:4" x14ac:dyDescent="0.3">
      <c r="A377" s="1" t="s">
        <v>384</v>
      </c>
      <c r="B377" s="1">
        <v>952</v>
      </c>
      <c r="C377" s="1">
        <v>2</v>
      </c>
      <c r="D377" s="1">
        <v>0.21</v>
      </c>
    </row>
    <row r="378" spans="1:4" x14ac:dyDescent="0.3">
      <c r="A378" s="1" t="s">
        <v>385</v>
      </c>
      <c r="B378" s="1">
        <v>951</v>
      </c>
      <c r="C378" s="1">
        <v>2</v>
      </c>
      <c r="D378" s="1">
        <v>0.21</v>
      </c>
    </row>
    <row r="379" spans="1:4" x14ac:dyDescent="0.3">
      <c r="A379" s="1" t="s">
        <v>386</v>
      </c>
      <c r="B379" s="1">
        <v>942</v>
      </c>
      <c r="C379" s="1">
        <v>2</v>
      </c>
      <c r="D379" s="1">
        <v>0.21</v>
      </c>
    </row>
    <row r="380" spans="1:4" x14ac:dyDescent="0.3">
      <c r="A380" s="1" t="s">
        <v>387</v>
      </c>
      <c r="B380" s="1">
        <v>1020</v>
      </c>
      <c r="C380" s="1">
        <v>2</v>
      </c>
      <c r="D380" s="1">
        <v>0.2</v>
      </c>
    </row>
    <row r="381" spans="1:4" x14ac:dyDescent="0.3">
      <c r="A381" s="1" t="s">
        <v>388</v>
      </c>
      <c r="B381" s="1">
        <v>1014</v>
      </c>
      <c r="C381" s="1">
        <v>2</v>
      </c>
      <c r="D381" s="1">
        <v>0.2</v>
      </c>
    </row>
    <row r="382" spans="1:4" x14ac:dyDescent="0.3">
      <c r="A382" s="1" t="s">
        <v>389</v>
      </c>
      <c r="B382" s="1">
        <v>1012</v>
      </c>
      <c r="C382" s="1">
        <v>2</v>
      </c>
      <c r="D382" s="1">
        <v>0.2</v>
      </c>
    </row>
    <row r="383" spans="1:4" x14ac:dyDescent="0.3">
      <c r="A383" s="1" t="s">
        <v>390</v>
      </c>
      <c r="B383" s="1">
        <v>1010</v>
      </c>
      <c r="C383" s="1">
        <v>2</v>
      </c>
      <c r="D383" s="1">
        <v>0.2</v>
      </c>
    </row>
    <row r="384" spans="1:4" x14ac:dyDescent="0.3">
      <c r="A384" s="1" t="s">
        <v>391</v>
      </c>
      <c r="B384" s="1">
        <v>1007</v>
      </c>
      <c r="C384" s="1">
        <v>2</v>
      </c>
      <c r="D384" s="1">
        <v>0.2</v>
      </c>
    </row>
    <row r="385" spans="1:4" x14ac:dyDescent="0.3">
      <c r="A385" s="1" t="s">
        <v>392</v>
      </c>
      <c r="B385" s="1">
        <v>1006</v>
      </c>
      <c r="C385" s="1">
        <v>2</v>
      </c>
      <c r="D385" s="1">
        <v>0.2</v>
      </c>
    </row>
    <row r="386" spans="1:4" x14ac:dyDescent="0.3">
      <c r="A386" s="1" t="s">
        <v>393</v>
      </c>
      <c r="B386" s="1">
        <v>1006</v>
      </c>
      <c r="C386" s="1">
        <v>2</v>
      </c>
      <c r="D386" s="1">
        <v>0.2</v>
      </c>
    </row>
    <row r="387" spans="1:4" x14ac:dyDescent="0.3">
      <c r="A387" s="1" t="s">
        <v>394</v>
      </c>
      <c r="B387" s="1">
        <v>1002</v>
      </c>
      <c r="C387" s="1">
        <v>2</v>
      </c>
      <c r="D387" s="1">
        <v>0.2</v>
      </c>
    </row>
    <row r="388" spans="1:4" x14ac:dyDescent="0.3">
      <c r="A388" s="1" t="s">
        <v>395</v>
      </c>
      <c r="B388" s="1">
        <v>993</v>
      </c>
      <c r="C388" s="1">
        <v>2</v>
      </c>
      <c r="D388" s="1">
        <v>0.2</v>
      </c>
    </row>
    <row r="389" spans="1:4" x14ac:dyDescent="0.3">
      <c r="A389" s="1" t="s">
        <v>396</v>
      </c>
      <c r="B389" s="1">
        <v>986</v>
      </c>
      <c r="C389" s="1">
        <v>2</v>
      </c>
      <c r="D389" s="1">
        <v>0.2</v>
      </c>
    </row>
    <row r="390" spans="1:4" x14ac:dyDescent="0.3">
      <c r="A390" s="1" t="s">
        <v>397</v>
      </c>
      <c r="B390" s="1">
        <v>981</v>
      </c>
      <c r="C390" s="1">
        <v>2</v>
      </c>
      <c r="D390" s="1">
        <v>0.2</v>
      </c>
    </row>
    <row r="391" spans="1:4" x14ac:dyDescent="0.3">
      <c r="A391" s="1" t="s">
        <v>398</v>
      </c>
      <c r="B391" s="1">
        <v>978</v>
      </c>
      <c r="C391" s="1">
        <v>2</v>
      </c>
      <c r="D391" s="1">
        <v>0.2</v>
      </c>
    </row>
    <row r="392" spans="1:4" x14ac:dyDescent="0.3">
      <c r="A392" s="1" t="s">
        <v>399</v>
      </c>
      <c r="B392" s="1">
        <v>1075</v>
      </c>
      <c r="C392" s="1">
        <v>2</v>
      </c>
      <c r="D392" s="1">
        <v>0.19</v>
      </c>
    </row>
    <row r="393" spans="1:4" x14ac:dyDescent="0.3">
      <c r="A393" s="1" t="s">
        <v>400</v>
      </c>
      <c r="B393" s="1">
        <v>1062</v>
      </c>
      <c r="C393" s="1">
        <v>2</v>
      </c>
      <c r="D393" s="1">
        <v>0.19</v>
      </c>
    </row>
    <row r="394" spans="1:4" x14ac:dyDescent="0.3">
      <c r="A394" s="1" t="s">
        <v>401</v>
      </c>
      <c r="B394" s="1">
        <v>1055</v>
      </c>
      <c r="C394" s="1">
        <v>2</v>
      </c>
      <c r="D394" s="1">
        <v>0.19</v>
      </c>
    </row>
    <row r="395" spans="1:4" x14ac:dyDescent="0.3">
      <c r="A395" s="1" t="s">
        <v>402</v>
      </c>
      <c r="B395" s="1">
        <v>1042</v>
      </c>
      <c r="C395" s="1">
        <v>2</v>
      </c>
      <c r="D395" s="1">
        <v>0.19</v>
      </c>
    </row>
    <row r="396" spans="1:4" x14ac:dyDescent="0.3">
      <c r="A396" s="1" t="s">
        <v>403</v>
      </c>
      <c r="B396" s="1">
        <v>1036</v>
      </c>
      <c r="C396" s="1">
        <v>2</v>
      </c>
      <c r="D396" s="1">
        <v>0.19</v>
      </c>
    </row>
    <row r="397" spans="1:4" x14ac:dyDescent="0.3">
      <c r="A397" s="1" t="s">
        <v>404</v>
      </c>
      <c r="B397" s="1">
        <v>1032</v>
      </c>
      <c r="C397" s="1">
        <v>2</v>
      </c>
      <c r="D397" s="1">
        <v>0.19</v>
      </c>
    </row>
    <row r="398" spans="1:4" x14ac:dyDescent="0.3">
      <c r="A398" s="1" t="s">
        <v>405</v>
      </c>
      <c r="B398" s="1">
        <v>1027</v>
      </c>
      <c r="C398" s="1">
        <v>2</v>
      </c>
      <c r="D398" s="1">
        <v>0.19</v>
      </c>
    </row>
    <row r="399" spans="1:4" x14ac:dyDescent="0.3">
      <c r="A399" s="1" t="s">
        <v>406</v>
      </c>
      <c r="B399" s="1">
        <v>1142</v>
      </c>
      <c r="C399" s="1">
        <v>2</v>
      </c>
      <c r="D399" s="1">
        <v>0.18</v>
      </c>
    </row>
    <row r="400" spans="1:4" x14ac:dyDescent="0.3">
      <c r="A400" s="1" t="s">
        <v>407</v>
      </c>
      <c r="B400" s="1">
        <v>1140</v>
      </c>
      <c r="C400" s="1">
        <v>2</v>
      </c>
      <c r="D400" s="1">
        <v>0.18</v>
      </c>
    </row>
    <row r="401" spans="1:4" x14ac:dyDescent="0.3">
      <c r="A401" s="1" t="s">
        <v>408</v>
      </c>
      <c r="B401" s="1">
        <v>1134</v>
      </c>
      <c r="C401" s="1">
        <v>2</v>
      </c>
      <c r="D401" s="1">
        <v>0.18</v>
      </c>
    </row>
    <row r="402" spans="1:4" x14ac:dyDescent="0.3">
      <c r="A402" s="1" t="s">
        <v>409</v>
      </c>
      <c r="B402" s="1">
        <v>1133</v>
      </c>
      <c r="C402" s="1">
        <v>2</v>
      </c>
      <c r="D402" s="1">
        <v>0.18</v>
      </c>
    </row>
    <row r="403" spans="1:4" x14ac:dyDescent="0.3">
      <c r="A403" s="1" t="s">
        <v>410</v>
      </c>
      <c r="B403" s="1">
        <v>1128</v>
      </c>
      <c r="C403" s="1">
        <v>2</v>
      </c>
      <c r="D403" s="1">
        <v>0.18</v>
      </c>
    </row>
    <row r="404" spans="1:4" x14ac:dyDescent="0.3">
      <c r="A404" s="1" t="s">
        <v>411</v>
      </c>
      <c r="B404" s="1">
        <v>1126</v>
      </c>
      <c r="C404" s="1">
        <v>2</v>
      </c>
      <c r="D404" s="1">
        <v>0.18</v>
      </c>
    </row>
    <row r="405" spans="1:4" x14ac:dyDescent="0.3">
      <c r="A405" s="1" t="s">
        <v>412</v>
      </c>
      <c r="B405" s="1">
        <v>1123</v>
      </c>
      <c r="C405" s="1">
        <v>2</v>
      </c>
      <c r="D405" s="1">
        <v>0.18</v>
      </c>
    </row>
    <row r="406" spans="1:4" x14ac:dyDescent="0.3">
      <c r="A406" s="1" t="s">
        <v>413</v>
      </c>
      <c r="B406" s="1">
        <v>1109</v>
      </c>
      <c r="C406" s="1">
        <v>2</v>
      </c>
      <c r="D406" s="1">
        <v>0.18</v>
      </c>
    </row>
    <row r="407" spans="1:4" x14ac:dyDescent="0.3">
      <c r="A407" s="1" t="s">
        <v>414</v>
      </c>
      <c r="B407" s="1">
        <v>1107</v>
      </c>
      <c r="C407" s="1">
        <v>2</v>
      </c>
      <c r="D407" s="1">
        <v>0.18</v>
      </c>
    </row>
    <row r="408" spans="1:4" x14ac:dyDescent="0.3">
      <c r="A408" s="1" t="s">
        <v>415</v>
      </c>
      <c r="B408" s="1">
        <v>1104</v>
      </c>
      <c r="C408" s="1">
        <v>2</v>
      </c>
      <c r="D408" s="1">
        <v>0.18</v>
      </c>
    </row>
    <row r="409" spans="1:4" x14ac:dyDescent="0.3">
      <c r="A409" s="1" t="s">
        <v>416</v>
      </c>
      <c r="B409" s="1">
        <v>1094</v>
      </c>
      <c r="C409" s="1">
        <v>2</v>
      </c>
      <c r="D409" s="1">
        <v>0.18</v>
      </c>
    </row>
    <row r="410" spans="1:4" x14ac:dyDescent="0.3">
      <c r="A410" s="1" t="s">
        <v>417</v>
      </c>
      <c r="B410" s="1">
        <v>1082</v>
      </c>
      <c r="C410" s="1">
        <v>2</v>
      </c>
      <c r="D410" s="1">
        <v>0.18</v>
      </c>
    </row>
    <row r="411" spans="1:4" x14ac:dyDescent="0.3">
      <c r="A411" s="1" t="s">
        <v>418</v>
      </c>
      <c r="B411" s="1">
        <v>1178</v>
      </c>
      <c r="C411" s="1">
        <v>2</v>
      </c>
      <c r="D411" s="1">
        <v>0.17</v>
      </c>
    </row>
    <row r="412" spans="1:4" x14ac:dyDescent="0.3">
      <c r="A412" s="1" t="s">
        <v>419</v>
      </c>
      <c r="B412" s="1">
        <v>1160</v>
      </c>
      <c r="C412" s="1">
        <v>2</v>
      </c>
      <c r="D412" s="1">
        <v>0.17</v>
      </c>
    </row>
    <row r="413" spans="1:4" x14ac:dyDescent="0.3">
      <c r="A413" s="1" t="s">
        <v>420</v>
      </c>
      <c r="B413" s="1">
        <v>1157</v>
      </c>
      <c r="C413" s="1">
        <v>2</v>
      </c>
      <c r="D413" s="1">
        <v>0.17</v>
      </c>
    </row>
    <row r="414" spans="1:4" x14ac:dyDescent="0.3">
      <c r="A414" s="1" t="s">
        <v>421</v>
      </c>
      <c r="B414" s="1">
        <v>593</v>
      </c>
      <c r="C414" s="1">
        <v>1</v>
      </c>
      <c r="D414" s="1">
        <v>0.17</v>
      </c>
    </row>
    <row r="415" spans="1:4" x14ac:dyDescent="0.3">
      <c r="A415" s="1" t="s">
        <v>422</v>
      </c>
      <c r="B415" s="1">
        <v>1226</v>
      </c>
      <c r="C415" s="1">
        <v>2</v>
      </c>
      <c r="D415" s="1">
        <v>0.16</v>
      </c>
    </row>
    <row r="416" spans="1:4" x14ac:dyDescent="0.3">
      <c r="A416" s="1" t="s">
        <v>423</v>
      </c>
      <c r="B416" s="1">
        <v>688</v>
      </c>
      <c r="C416" s="1">
        <v>1</v>
      </c>
      <c r="D416" s="1">
        <v>0.15</v>
      </c>
    </row>
    <row r="417" spans="1:4" x14ac:dyDescent="0.3">
      <c r="A417" s="1" t="s">
        <v>424</v>
      </c>
      <c r="B417" s="1">
        <v>687</v>
      </c>
      <c r="C417" s="1">
        <v>1</v>
      </c>
      <c r="D417" s="1">
        <v>0.15</v>
      </c>
    </row>
    <row r="418" spans="1:4" x14ac:dyDescent="0.3">
      <c r="A418" s="1" t="s">
        <v>425</v>
      </c>
      <c r="B418" s="1">
        <v>680</v>
      </c>
      <c r="C418" s="1">
        <v>1</v>
      </c>
      <c r="D418" s="1">
        <v>0.15</v>
      </c>
    </row>
    <row r="419" spans="1:4" x14ac:dyDescent="0.3">
      <c r="A419" s="1" t="s">
        <v>426</v>
      </c>
      <c r="B419" s="1">
        <v>678</v>
      </c>
      <c r="C419" s="1">
        <v>1</v>
      </c>
      <c r="D419" s="1">
        <v>0.15</v>
      </c>
    </row>
    <row r="420" spans="1:4" x14ac:dyDescent="0.3">
      <c r="A420" s="1" t="s">
        <v>427</v>
      </c>
      <c r="B420" s="1">
        <v>670</v>
      </c>
      <c r="C420" s="1">
        <v>1</v>
      </c>
      <c r="D420" s="1">
        <v>0.15</v>
      </c>
    </row>
    <row r="421" spans="1:4" x14ac:dyDescent="0.3">
      <c r="A421" s="1" t="s">
        <v>428</v>
      </c>
      <c r="B421" s="1">
        <v>659</v>
      </c>
      <c r="C421" s="1">
        <v>1</v>
      </c>
      <c r="D421" s="1">
        <v>0.15</v>
      </c>
    </row>
    <row r="422" spans="1:4" x14ac:dyDescent="0.3">
      <c r="A422" s="1" t="s">
        <v>429</v>
      </c>
      <c r="B422" s="1">
        <v>647</v>
      </c>
      <c r="C422" s="1">
        <v>1</v>
      </c>
      <c r="D422" s="1">
        <v>0.15</v>
      </c>
    </row>
    <row r="423" spans="1:4" x14ac:dyDescent="0.3">
      <c r="A423" s="1" t="s">
        <v>430</v>
      </c>
      <c r="B423" s="1">
        <v>646</v>
      </c>
      <c r="C423" s="1">
        <v>1</v>
      </c>
      <c r="D423" s="1">
        <v>0.15</v>
      </c>
    </row>
    <row r="424" spans="1:4" x14ac:dyDescent="0.3">
      <c r="A424" s="1" t="s">
        <v>431</v>
      </c>
      <c r="B424" s="1">
        <v>739</v>
      </c>
      <c r="C424" s="1">
        <v>1</v>
      </c>
      <c r="D424" s="1">
        <v>0.14000000000000001</v>
      </c>
    </row>
    <row r="425" spans="1:4" x14ac:dyDescent="0.3">
      <c r="A425" s="1" t="s">
        <v>432</v>
      </c>
      <c r="B425" s="1">
        <v>738</v>
      </c>
      <c r="C425" s="1">
        <v>1</v>
      </c>
      <c r="D425" s="1">
        <v>0.14000000000000001</v>
      </c>
    </row>
    <row r="426" spans="1:4" x14ac:dyDescent="0.3">
      <c r="A426" s="1" t="s">
        <v>433</v>
      </c>
      <c r="B426" s="1">
        <v>736</v>
      </c>
      <c r="C426" s="1">
        <v>1</v>
      </c>
      <c r="D426" s="1">
        <v>0.14000000000000001</v>
      </c>
    </row>
    <row r="427" spans="1:4" x14ac:dyDescent="0.3">
      <c r="A427" s="1" t="s">
        <v>434</v>
      </c>
      <c r="B427" s="1">
        <v>735</v>
      </c>
      <c r="C427" s="1">
        <v>1</v>
      </c>
      <c r="D427" s="1">
        <v>0.14000000000000001</v>
      </c>
    </row>
    <row r="428" spans="1:4" x14ac:dyDescent="0.3">
      <c r="A428" s="1" t="s">
        <v>435</v>
      </c>
      <c r="B428" s="1">
        <v>734</v>
      </c>
      <c r="C428" s="1">
        <v>1</v>
      </c>
      <c r="D428" s="1">
        <v>0.14000000000000001</v>
      </c>
    </row>
    <row r="429" spans="1:4" x14ac:dyDescent="0.3">
      <c r="A429" s="1" t="s">
        <v>436</v>
      </c>
      <c r="B429" s="1">
        <v>728</v>
      </c>
      <c r="C429" s="1">
        <v>1</v>
      </c>
      <c r="D429" s="1">
        <v>0.14000000000000001</v>
      </c>
    </row>
    <row r="430" spans="1:4" x14ac:dyDescent="0.3">
      <c r="A430" s="1" t="s">
        <v>437</v>
      </c>
      <c r="B430" s="1">
        <v>725</v>
      </c>
      <c r="C430" s="1">
        <v>1</v>
      </c>
      <c r="D430" s="1">
        <v>0.14000000000000001</v>
      </c>
    </row>
    <row r="431" spans="1:4" x14ac:dyDescent="0.3">
      <c r="A431" s="1" t="s">
        <v>438</v>
      </c>
      <c r="B431" s="1">
        <v>724</v>
      </c>
      <c r="C431" s="1">
        <v>1</v>
      </c>
      <c r="D431" s="1">
        <v>0.14000000000000001</v>
      </c>
    </row>
    <row r="432" spans="1:4" x14ac:dyDescent="0.3">
      <c r="A432" s="1" t="s">
        <v>439</v>
      </c>
      <c r="B432" s="1">
        <v>721</v>
      </c>
      <c r="C432" s="1">
        <v>1</v>
      </c>
      <c r="D432" s="1">
        <v>0.14000000000000001</v>
      </c>
    </row>
    <row r="433" spans="1:4" x14ac:dyDescent="0.3">
      <c r="A433" s="1" t="s">
        <v>440</v>
      </c>
      <c r="B433" s="1">
        <v>721</v>
      </c>
      <c r="C433" s="1">
        <v>1</v>
      </c>
      <c r="D433" s="1">
        <v>0.14000000000000001</v>
      </c>
    </row>
    <row r="434" spans="1:4" x14ac:dyDescent="0.3">
      <c r="A434" s="1" t="s">
        <v>441</v>
      </c>
      <c r="B434" s="1">
        <v>721</v>
      </c>
      <c r="C434" s="1">
        <v>1</v>
      </c>
      <c r="D434" s="1">
        <v>0.14000000000000001</v>
      </c>
    </row>
    <row r="435" spans="1:4" x14ac:dyDescent="0.3">
      <c r="A435" s="1" t="s">
        <v>442</v>
      </c>
      <c r="B435" s="1">
        <v>720</v>
      </c>
      <c r="C435" s="1">
        <v>1</v>
      </c>
      <c r="D435" s="1">
        <v>0.14000000000000001</v>
      </c>
    </row>
    <row r="436" spans="1:4" x14ac:dyDescent="0.3">
      <c r="A436" s="1" t="s">
        <v>443</v>
      </c>
      <c r="B436" s="1">
        <v>719</v>
      </c>
      <c r="C436" s="1">
        <v>1</v>
      </c>
      <c r="D436" s="1">
        <v>0.14000000000000001</v>
      </c>
    </row>
    <row r="437" spans="1:4" x14ac:dyDescent="0.3">
      <c r="A437" s="1" t="s">
        <v>444</v>
      </c>
      <c r="B437" s="1">
        <v>717</v>
      </c>
      <c r="C437" s="1">
        <v>1</v>
      </c>
      <c r="D437" s="1">
        <v>0.14000000000000001</v>
      </c>
    </row>
    <row r="438" spans="1:4" x14ac:dyDescent="0.3">
      <c r="A438" s="1" t="s">
        <v>445</v>
      </c>
      <c r="B438" s="1">
        <v>709</v>
      </c>
      <c r="C438" s="1">
        <v>1</v>
      </c>
      <c r="D438" s="1">
        <v>0.14000000000000001</v>
      </c>
    </row>
    <row r="439" spans="1:4" x14ac:dyDescent="0.3">
      <c r="A439" s="1" t="s">
        <v>446</v>
      </c>
      <c r="B439" s="1">
        <v>706</v>
      </c>
      <c r="C439" s="1">
        <v>1</v>
      </c>
      <c r="D439" s="1">
        <v>0.14000000000000001</v>
      </c>
    </row>
    <row r="440" spans="1:4" x14ac:dyDescent="0.3">
      <c r="A440" s="1" t="s">
        <v>447</v>
      </c>
      <c r="B440" s="1">
        <v>705</v>
      </c>
      <c r="C440" s="1">
        <v>1</v>
      </c>
      <c r="D440" s="1">
        <v>0.14000000000000001</v>
      </c>
    </row>
    <row r="441" spans="1:4" x14ac:dyDescent="0.3">
      <c r="A441" s="1" t="s">
        <v>448</v>
      </c>
      <c r="B441" s="1">
        <v>705</v>
      </c>
      <c r="C441" s="1">
        <v>1</v>
      </c>
      <c r="D441" s="1">
        <v>0.14000000000000001</v>
      </c>
    </row>
    <row r="442" spans="1:4" x14ac:dyDescent="0.3">
      <c r="A442" s="1" t="s">
        <v>449</v>
      </c>
      <c r="B442" s="1">
        <v>704</v>
      </c>
      <c r="C442" s="1">
        <v>1</v>
      </c>
      <c r="D442" s="1">
        <v>0.14000000000000001</v>
      </c>
    </row>
    <row r="443" spans="1:4" x14ac:dyDescent="0.3">
      <c r="A443" s="1" t="s">
        <v>450</v>
      </c>
      <c r="B443" s="1">
        <v>703</v>
      </c>
      <c r="C443" s="1">
        <v>1</v>
      </c>
      <c r="D443" s="1">
        <v>0.14000000000000001</v>
      </c>
    </row>
    <row r="444" spans="1:4" x14ac:dyDescent="0.3">
      <c r="A444" s="1" t="s">
        <v>451</v>
      </c>
      <c r="B444" s="1">
        <v>698</v>
      </c>
      <c r="C444" s="1">
        <v>1</v>
      </c>
      <c r="D444" s="1">
        <v>0.14000000000000001</v>
      </c>
    </row>
    <row r="445" spans="1:4" x14ac:dyDescent="0.3">
      <c r="A445" s="1" t="s">
        <v>452</v>
      </c>
      <c r="B445" s="1">
        <v>696</v>
      </c>
      <c r="C445" s="1">
        <v>1</v>
      </c>
      <c r="D445" s="1">
        <v>0.14000000000000001</v>
      </c>
    </row>
    <row r="446" spans="1:4" x14ac:dyDescent="0.3">
      <c r="A446" s="1" t="s">
        <v>453</v>
      </c>
      <c r="B446" s="1">
        <v>695</v>
      </c>
      <c r="C446" s="1">
        <v>1</v>
      </c>
      <c r="D446" s="1">
        <v>0.14000000000000001</v>
      </c>
    </row>
    <row r="447" spans="1:4" x14ac:dyDescent="0.3">
      <c r="A447" s="1" t="s">
        <v>454</v>
      </c>
      <c r="B447" s="1">
        <v>694</v>
      </c>
      <c r="C447" s="1">
        <v>1</v>
      </c>
      <c r="D447" s="1">
        <v>0.14000000000000001</v>
      </c>
    </row>
    <row r="448" spans="1:4" x14ac:dyDescent="0.3">
      <c r="A448" s="1" t="s">
        <v>455</v>
      </c>
      <c r="B448" s="1">
        <v>692</v>
      </c>
      <c r="C448" s="1">
        <v>1</v>
      </c>
      <c r="D448" s="1">
        <v>0.14000000000000001</v>
      </c>
    </row>
    <row r="449" spans="1:4" x14ac:dyDescent="0.3">
      <c r="A449" s="1" t="s">
        <v>456</v>
      </c>
      <c r="B449" s="1">
        <v>690</v>
      </c>
      <c r="C449" s="1">
        <v>1</v>
      </c>
      <c r="D449" s="1">
        <v>0.14000000000000001</v>
      </c>
    </row>
    <row r="450" spans="1:4" x14ac:dyDescent="0.3">
      <c r="A450" s="1" t="s">
        <v>457</v>
      </c>
      <c r="B450" s="1">
        <v>690</v>
      </c>
      <c r="C450" s="1">
        <v>1</v>
      </c>
      <c r="D450" s="1">
        <v>0.14000000000000001</v>
      </c>
    </row>
    <row r="451" spans="1:4" x14ac:dyDescent="0.3">
      <c r="A451" s="1" t="s">
        <v>458</v>
      </c>
      <c r="B451" s="1">
        <v>800</v>
      </c>
      <c r="C451" s="1">
        <v>1</v>
      </c>
      <c r="D451" s="1">
        <v>0.13</v>
      </c>
    </row>
    <row r="452" spans="1:4" x14ac:dyDescent="0.3">
      <c r="A452" s="1" t="s">
        <v>459</v>
      </c>
      <c r="B452" s="1">
        <v>798</v>
      </c>
      <c r="C452" s="1">
        <v>1</v>
      </c>
      <c r="D452" s="1">
        <v>0.13</v>
      </c>
    </row>
    <row r="453" spans="1:4" x14ac:dyDescent="0.3">
      <c r="A453" s="1" t="s">
        <v>460</v>
      </c>
      <c r="B453" s="1">
        <v>797</v>
      </c>
      <c r="C453" s="1">
        <v>1</v>
      </c>
      <c r="D453" s="1">
        <v>0.13</v>
      </c>
    </row>
    <row r="454" spans="1:4" x14ac:dyDescent="0.3">
      <c r="A454" s="1" t="s">
        <v>461</v>
      </c>
      <c r="B454" s="1">
        <v>797</v>
      </c>
      <c r="C454" s="1">
        <v>1</v>
      </c>
      <c r="D454" s="1">
        <v>0.13</v>
      </c>
    </row>
    <row r="455" spans="1:4" x14ac:dyDescent="0.3">
      <c r="A455" s="1" t="s">
        <v>462</v>
      </c>
      <c r="B455" s="1">
        <v>796</v>
      </c>
      <c r="C455" s="1">
        <v>1</v>
      </c>
      <c r="D455" s="1">
        <v>0.13</v>
      </c>
    </row>
    <row r="456" spans="1:4" x14ac:dyDescent="0.3">
      <c r="A456" s="1" t="s">
        <v>463</v>
      </c>
      <c r="B456" s="1">
        <v>795</v>
      </c>
      <c r="C456" s="1">
        <v>1</v>
      </c>
      <c r="D456" s="1">
        <v>0.13</v>
      </c>
    </row>
    <row r="457" spans="1:4" x14ac:dyDescent="0.3">
      <c r="A457" s="1" t="s">
        <v>464</v>
      </c>
      <c r="B457" s="1">
        <v>795</v>
      </c>
      <c r="C457" s="1">
        <v>1</v>
      </c>
      <c r="D457" s="1">
        <v>0.13</v>
      </c>
    </row>
    <row r="458" spans="1:4" x14ac:dyDescent="0.3">
      <c r="A458" s="1" t="s">
        <v>465</v>
      </c>
      <c r="B458" s="1">
        <v>790</v>
      </c>
      <c r="C458" s="1">
        <v>1</v>
      </c>
      <c r="D458" s="1">
        <v>0.13</v>
      </c>
    </row>
    <row r="459" spans="1:4" x14ac:dyDescent="0.3">
      <c r="A459" s="1" t="s">
        <v>466</v>
      </c>
      <c r="B459" s="1">
        <v>787</v>
      </c>
      <c r="C459" s="1">
        <v>1</v>
      </c>
      <c r="D459" s="1">
        <v>0.13</v>
      </c>
    </row>
    <row r="460" spans="1:4" x14ac:dyDescent="0.3">
      <c r="A460" s="1" t="s">
        <v>467</v>
      </c>
      <c r="B460" s="1">
        <v>785</v>
      </c>
      <c r="C460" s="1">
        <v>1</v>
      </c>
      <c r="D460" s="1">
        <v>0.13</v>
      </c>
    </row>
    <row r="461" spans="1:4" x14ac:dyDescent="0.3">
      <c r="A461" s="1" t="s">
        <v>468</v>
      </c>
      <c r="B461" s="1">
        <v>785</v>
      </c>
      <c r="C461" s="1">
        <v>1</v>
      </c>
      <c r="D461" s="1">
        <v>0.13</v>
      </c>
    </row>
    <row r="462" spans="1:4" x14ac:dyDescent="0.3">
      <c r="A462" s="1" t="s">
        <v>469</v>
      </c>
      <c r="B462" s="1">
        <v>785</v>
      </c>
      <c r="C462" s="1">
        <v>1</v>
      </c>
      <c r="D462" s="1">
        <v>0.13</v>
      </c>
    </row>
    <row r="463" spans="1:4" x14ac:dyDescent="0.3">
      <c r="A463" s="1" t="s">
        <v>470</v>
      </c>
      <c r="B463" s="1">
        <v>784</v>
      </c>
      <c r="C463" s="1">
        <v>1</v>
      </c>
      <c r="D463" s="1">
        <v>0.13</v>
      </c>
    </row>
    <row r="464" spans="1:4" x14ac:dyDescent="0.3">
      <c r="A464" s="1" t="s">
        <v>471</v>
      </c>
      <c r="B464" s="1">
        <v>783</v>
      </c>
      <c r="C464" s="1">
        <v>1</v>
      </c>
      <c r="D464" s="1">
        <v>0.13</v>
      </c>
    </row>
    <row r="465" spans="1:4" x14ac:dyDescent="0.3">
      <c r="A465" s="1" t="s">
        <v>472</v>
      </c>
      <c r="B465" s="1">
        <v>783</v>
      </c>
      <c r="C465" s="1">
        <v>1</v>
      </c>
      <c r="D465" s="1">
        <v>0.13</v>
      </c>
    </row>
    <row r="466" spans="1:4" x14ac:dyDescent="0.3">
      <c r="A466" s="1" t="s">
        <v>473</v>
      </c>
      <c r="B466" s="1">
        <v>782</v>
      </c>
      <c r="C466" s="1">
        <v>1</v>
      </c>
      <c r="D466" s="1">
        <v>0.13</v>
      </c>
    </row>
    <row r="467" spans="1:4" x14ac:dyDescent="0.3">
      <c r="A467" s="1" t="s">
        <v>474</v>
      </c>
      <c r="B467" s="1">
        <v>781</v>
      </c>
      <c r="C467" s="1">
        <v>1</v>
      </c>
      <c r="D467" s="1">
        <v>0.13</v>
      </c>
    </row>
    <row r="468" spans="1:4" x14ac:dyDescent="0.3">
      <c r="A468" s="1" t="s">
        <v>475</v>
      </c>
      <c r="B468" s="1">
        <v>777</v>
      </c>
      <c r="C468" s="1">
        <v>1</v>
      </c>
      <c r="D468" s="1">
        <v>0.13</v>
      </c>
    </row>
    <row r="469" spans="1:4" x14ac:dyDescent="0.3">
      <c r="A469" s="1" t="s">
        <v>476</v>
      </c>
      <c r="B469" s="1">
        <v>776</v>
      </c>
      <c r="C469" s="1">
        <v>1</v>
      </c>
      <c r="D469" s="1">
        <v>0.13</v>
      </c>
    </row>
    <row r="470" spans="1:4" x14ac:dyDescent="0.3">
      <c r="A470" s="1" t="s">
        <v>477</v>
      </c>
      <c r="B470" s="1">
        <v>775</v>
      </c>
      <c r="C470" s="1">
        <v>1</v>
      </c>
      <c r="D470" s="1">
        <v>0.13</v>
      </c>
    </row>
    <row r="471" spans="1:4" x14ac:dyDescent="0.3">
      <c r="A471" s="1" t="s">
        <v>478</v>
      </c>
      <c r="B471" s="1">
        <v>775</v>
      </c>
      <c r="C471" s="1">
        <v>1</v>
      </c>
      <c r="D471" s="1">
        <v>0.13</v>
      </c>
    </row>
    <row r="472" spans="1:4" x14ac:dyDescent="0.3">
      <c r="A472" s="1" t="s">
        <v>479</v>
      </c>
      <c r="B472" s="1">
        <v>773</v>
      </c>
      <c r="C472" s="1">
        <v>1</v>
      </c>
      <c r="D472" s="1">
        <v>0.13</v>
      </c>
    </row>
    <row r="473" spans="1:4" x14ac:dyDescent="0.3">
      <c r="A473" s="1" t="s">
        <v>480</v>
      </c>
      <c r="B473" s="1">
        <v>771</v>
      </c>
      <c r="C473" s="1">
        <v>1</v>
      </c>
      <c r="D473" s="1">
        <v>0.13</v>
      </c>
    </row>
    <row r="474" spans="1:4" x14ac:dyDescent="0.3">
      <c r="A474" s="1" t="s">
        <v>481</v>
      </c>
      <c r="B474" s="1">
        <v>770</v>
      </c>
      <c r="C474" s="1">
        <v>1</v>
      </c>
      <c r="D474" s="1">
        <v>0.13</v>
      </c>
    </row>
    <row r="475" spans="1:4" x14ac:dyDescent="0.3">
      <c r="A475" s="1" t="s">
        <v>482</v>
      </c>
      <c r="B475" s="1">
        <v>766</v>
      </c>
      <c r="C475" s="1">
        <v>1</v>
      </c>
      <c r="D475" s="1">
        <v>0.13</v>
      </c>
    </row>
    <row r="476" spans="1:4" x14ac:dyDescent="0.3">
      <c r="A476" s="1" t="s">
        <v>483</v>
      </c>
      <c r="B476" s="1">
        <v>766</v>
      </c>
      <c r="C476" s="1">
        <v>1</v>
      </c>
      <c r="D476" s="1">
        <v>0.13</v>
      </c>
    </row>
    <row r="477" spans="1:4" x14ac:dyDescent="0.3">
      <c r="A477" s="1" t="s">
        <v>484</v>
      </c>
      <c r="B477" s="1">
        <v>764</v>
      </c>
      <c r="C477" s="1">
        <v>1</v>
      </c>
      <c r="D477" s="1">
        <v>0.13</v>
      </c>
    </row>
    <row r="478" spans="1:4" x14ac:dyDescent="0.3">
      <c r="A478" s="1" t="s">
        <v>485</v>
      </c>
      <c r="B478" s="1">
        <v>758</v>
      </c>
      <c r="C478" s="1">
        <v>1</v>
      </c>
      <c r="D478" s="1">
        <v>0.13</v>
      </c>
    </row>
    <row r="479" spans="1:4" x14ac:dyDescent="0.3">
      <c r="A479" s="1" t="s">
        <v>486</v>
      </c>
      <c r="B479" s="1">
        <v>755</v>
      </c>
      <c r="C479" s="1">
        <v>1</v>
      </c>
      <c r="D479" s="1">
        <v>0.13</v>
      </c>
    </row>
    <row r="480" spans="1:4" x14ac:dyDescent="0.3">
      <c r="A480" s="1" t="s">
        <v>487</v>
      </c>
      <c r="B480" s="1">
        <v>755</v>
      </c>
      <c r="C480" s="1">
        <v>1</v>
      </c>
      <c r="D480" s="1">
        <v>0.13</v>
      </c>
    </row>
    <row r="481" spans="1:4" x14ac:dyDescent="0.3">
      <c r="A481" s="1" t="s">
        <v>488</v>
      </c>
      <c r="B481" s="1">
        <v>755</v>
      </c>
      <c r="C481" s="1">
        <v>1</v>
      </c>
      <c r="D481" s="1">
        <v>0.13</v>
      </c>
    </row>
    <row r="482" spans="1:4" x14ac:dyDescent="0.3">
      <c r="A482" s="1" t="s">
        <v>489</v>
      </c>
      <c r="B482" s="1">
        <v>754</v>
      </c>
      <c r="C482" s="1">
        <v>1</v>
      </c>
      <c r="D482" s="1">
        <v>0.13</v>
      </c>
    </row>
    <row r="483" spans="1:4" x14ac:dyDescent="0.3">
      <c r="A483" s="1" t="s">
        <v>490</v>
      </c>
      <c r="B483" s="1">
        <v>747</v>
      </c>
      <c r="C483" s="1">
        <v>1</v>
      </c>
      <c r="D483" s="1">
        <v>0.13</v>
      </c>
    </row>
    <row r="484" spans="1:4" x14ac:dyDescent="0.3">
      <c r="A484" s="1" t="s">
        <v>491</v>
      </c>
      <c r="B484" s="1">
        <v>747</v>
      </c>
      <c r="C484" s="1">
        <v>1</v>
      </c>
      <c r="D484" s="1">
        <v>0.13</v>
      </c>
    </row>
    <row r="485" spans="1:4" x14ac:dyDescent="0.3">
      <c r="A485" s="1" t="s">
        <v>492</v>
      </c>
      <c r="B485" s="1">
        <v>747</v>
      </c>
      <c r="C485" s="1">
        <v>1</v>
      </c>
      <c r="D485" s="1">
        <v>0.13</v>
      </c>
    </row>
    <row r="486" spans="1:4" x14ac:dyDescent="0.3">
      <c r="A486" s="1" t="s">
        <v>493</v>
      </c>
      <c r="B486" s="1">
        <v>746</v>
      </c>
      <c r="C486" s="1">
        <v>1</v>
      </c>
      <c r="D486" s="1">
        <v>0.13</v>
      </c>
    </row>
    <row r="487" spans="1:4" x14ac:dyDescent="0.3">
      <c r="A487" s="1" t="s">
        <v>494</v>
      </c>
      <c r="B487" s="1">
        <v>743</v>
      </c>
      <c r="C487" s="1">
        <v>1</v>
      </c>
      <c r="D487" s="1">
        <v>0.13</v>
      </c>
    </row>
    <row r="488" spans="1:4" x14ac:dyDescent="0.3">
      <c r="A488" s="1" t="s">
        <v>495</v>
      </c>
      <c r="B488" s="1">
        <v>743</v>
      </c>
      <c r="C488" s="1">
        <v>1</v>
      </c>
      <c r="D488" s="1">
        <v>0.13</v>
      </c>
    </row>
    <row r="489" spans="1:4" x14ac:dyDescent="0.3">
      <c r="A489" s="1" t="s">
        <v>496</v>
      </c>
      <c r="B489" s="1">
        <v>742</v>
      </c>
      <c r="C489" s="1">
        <v>1</v>
      </c>
      <c r="D489" s="1">
        <v>0.13</v>
      </c>
    </row>
    <row r="490" spans="1:4" x14ac:dyDescent="0.3">
      <c r="A490" s="1" t="s">
        <v>497</v>
      </c>
      <c r="B490" s="1">
        <v>858</v>
      </c>
      <c r="C490" s="1">
        <v>1</v>
      </c>
      <c r="D490" s="1">
        <v>0.12</v>
      </c>
    </row>
    <row r="491" spans="1:4" x14ac:dyDescent="0.3">
      <c r="A491" s="1" t="s">
        <v>498</v>
      </c>
      <c r="B491" s="1">
        <v>848</v>
      </c>
      <c r="C491" s="1">
        <v>1</v>
      </c>
      <c r="D491" s="1">
        <v>0.12</v>
      </c>
    </row>
    <row r="492" spans="1:4" x14ac:dyDescent="0.3">
      <c r="A492" s="1" t="s">
        <v>499</v>
      </c>
      <c r="B492" s="1">
        <v>840</v>
      </c>
      <c r="C492" s="1">
        <v>1</v>
      </c>
      <c r="D492" s="1">
        <v>0.12</v>
      </c>
    </row>
    <row r="493" spans="1:4" x14ac:dyDescent="0.3">
      <c r="A493" s="1" t="s">
        <v>500</v>
      </c>
      <c r="B493" s="1">
        <v>838</v>
      </c>
      <c r="C493" s="1">
        <v>1</v>
      </c>
      <c r="D493" s="1">
        <v>0.12</v>
      </c>
    </row>
    <row r="494" spans="1:4" x14ac:dyDescent="0.3">
      <c r="A494" s="1" t="s">
        <v>501</v>
      </c>
      <c r="B494" s="1">
        <v>836</v>
      </c>
      <c r="C494" s="1">
        <v>1</v>
      </c>
      <c r="D494" s="1">
        <v>0.12</v>
      </c>
    </row>
    <row r="495" spans="1:4" x14ac:dyDescent="0.3">
      <c r="A495" s="1" t="s">
        <v>502</v>
      </c>
      <c r="B495" s="1">
        <v>836</v>
      </c>
      <c r="C495" s="1">
        <v>1</v>
      </c>
      <c r="D495" s="1">
        <v>0.12</v>
      </c>
    </row>
    <row r="496" spans="1:4" x14ac:dyDescent="0.3">
      <c r="A496" s="1" t="s">
        <v>503</v>
      </c>
      <c r="B496" s="1">
        <v>833</v>
      </c>
      <c r="C496" s="1">
        <v>1</v>
      </c>
      <c r="D496" s="1">
        <v>0.12</v>
      </c>
    </row>
    <row r="497" spans="1:4" x14ac:dyDescent="0.3">
      <c r="A497" s="1" t="s">
        <v>504</v>
      </c>
      <c r="B497" s="1">
        <v>831</v>
      </c>
      <c r="C497" s="1">
        <v>1</v>
      </c>
      <c r="D497" s="1">
        <v>0.12</v>
      </c>
    </row>
    <row r="498" spans="1:4" x14ac:dyDescent="0.3">
      <c r="A498" s="1" t="s">
        <v>505</v>
      </c>
      <c r="B498" s="1">
        <v>824</v>
      </c>
      <c r="C498" s="1">
        <v>1</v>
      </c>
      <c r="D498" s="1">
        <v>0.12</v>
      </c>
    </row>
    <row r="499" spans="1:4" x14ac:dyDescent="0.3">
      <c r="A499" s="1" t="s">
        <v>506</v>
      </c>
      <c r="B499" s="1">
        <v>822</v>
      </c>
      <c r="C499" s="1">
        <v>1</v>
      </c>
      <c r="D499" s="1">
        <v>0.12</v>
      </c>
    </row>
    <row r="500" spans="1:4" x14ac:dyDescent="0.3">
      <c r="A500" s="1" t="s">
        <v>507</v>
      </c>
      <c r="B500" s="1">
        <v>820</v>
      </c>
      <c r="C500" s="1">
        <v>1</v>
      </c>
      <c r="D500" s="1">
        <v>0.12</v>
      </c>
    </row>
    <row r="501" spans="1:4" x14ac:dyDescent="0.3">
      <c r="A501" s="1" t="s">
        <v>508</v>
      </c>
      <c r="B501" s="1">
        <v>818</v>
      </c>
      <c r="C501" s="1">
        <v>1</v>
      </c>
      <c r="D501" s="1">
        <v>0.12</v>
      </c>
    </row>
    <row r="502" spans="1:4" x14ac:dyDescent="0.3">
      <c r="A502" s="1" t="s">
        <v>509</v>
      </c>
      <c r="B502" s="1">
        <v>817</v>
      </c>
      <c r="C502" s="1">
        <v>1</v>
      </c>
      <c r="D502" s="1">
        <v>0.12</v>
      </c>
    </row>
    <row r="503" spans="1:4" x14ac:dyDescent="0.3">
      <c r="A503" s="1" t="s">
        <v>510</v>
      </c>
      <c r="B503" s="1">
        <v>815</v>
      </c>
      <c r="C503" s="1">
        <v>1</v>
      </c>
      <c r="D503" s="1">
        <v>0.12</v>
      </c>
    </row>
    <row r="504" spans="1:4" x14ac:dyDescent="0.3">
      <c r="A504" s="1" t="s">
        <v>511</v>
      </c>
      <c r="B504" s="1">
        <v>812</v>
      </c>
      <c r="C504" s="1">
        <v>1</v>
      </c>
      <c r="D504" s="1">
        <v>0.12</v>
      </c>
    </row>
    <row r="505" spans="1:4" x14ac:dyDescent="0.3">
      <c r="A505" s="1" t="s">
        <v>512</v>
      </c>
      <c r="B505" s="1">
        <v>811</v>
      </c>
      <c r="C505" s="1">
        <v>1</v>
      </c>
      <c r="D505" s="1">
        <v>0.12</v>
      </c>
    </row>
    <row r="506" spans="1:4" x14ac:dyDescent="0.3">
      <c r="A506" s="1" t="s">
        <v>513</v>
      </c>
      <c r="B506" s="1">
        <v>811</v>
      </c>
      <c r="C506" s="1">
        <v>1</v>
      </c>
      <c r="D506" s="1">
        <v>0.12</v>
      </c>
    </row>
    <row r="507" spans="1:4" x14ac:dyDescent="0.3">
      <c r="A507" s="1" t="s">
        <v>514</v>
      </c>
      <c r="B507" s="1">
        <v>810</v>
      </c>
      <c r="C507" s="1">
        <v>1</v>
      </c>
      <c r="D507" s="1">
        <v>0.12</v>
      </c>
    </row>
    <row r="508" spans="1:4" x14ac:dyDescent="0.3">
      <c r="A508" s="1" t="s">
        <v>515</v>
      </c>
      <c r="B508" s="1">
        <v>809</v>
      </c>
      <c r="C508" s="1">
        <v>1</v>
      </c>
      <c r="D508" s="1">
        <v>0.12</v>
      </c>
    </row>
    <row r="509" spans="1:4" x14ac:dyDescent="0.3">
      <c r="A509" s="1" t="s">
        <v>516</v>
      </c>
      <c r="B509" s="1">
        <v>808</v>
      </c>
      <c r="C509" s="1">
        <v>1</v>
      </c>
      <c r="D509" s="1">
        <v>0.12</v>
      </c>
    </row>
    <row r="510" spans="1:4" x14ac:dyDescent="0.3">
      <c r="A510" s="1" t="s">
        <v>517</v>
      </c>
      <c r="B510" s="1">
        <v>806</v>
      </c>
      <c r="C510" s="1">
        <v>1</v>
      </c>
      <c r="D510" s="1">
        <v>0.12</v>
      </c>
    </row>
    <row r="511" spans="1:4" x14ac:dyDescent="0.3">
      <c r="A511" s="1" t="s">
        <v>518</v>
      </c>
      <c r="B511" s="1">
        <v>805</v>
      </c>
      <c r="C511" s="1">
        <v>1</v>
      </c>
      <c r="D511" s="1">
        <v>0.12</v>
      </c>
    </row>
    <row r="512" spans="1:4" x14ac:dyDescent="0.3">
      <c r="A512" s="1" t="s">
        <v>519</v>
      </c>
      <c r="B512" s="1">
        <v>805</v>
      </c>
      <c r="C512" s="1">
        <v>1</v>
      </c>
      <c r="D512" s="1">
        <v>0.12</v>
      </c>
    </row>
    <row r="513" spans="1:4" x14ac:dyDescent="0.3">
      <c r="A513" s="1" t="s">
        <v>520</v>
      </c>
      <c r="B513" s="1">
        <v>803</v>
      </c>
      <c r="C513" s="1">
        <v>1</v>
      </c>
      <c r="D513" s="1">
        <v>0.12</v>
      </c>
    </row>
    <row r="514" spans="1:4" x14ac:dyDescent="0.3">
      <c r="A514" s="1" t="s">
        <v>521</v>
      </c>
      <c r="B514" s="1">
        <v>951</v>
      </c>
      <c r="C514" s="1">
        <v>1</v>
      </c>
      <c r="D514" s="1">
        <v>0.11</v>
      </c>
    </row>
    <row r="515" spans="1:4" x14ac:dyDescent="0.3">
      <c r="A515" s="1" t="s">
        <v>522</v>
      </c>
      <c r="B515" s="1">
        <v>949</v>
      </c>
      <c r="C515" s="1">
        <v>1</v>
      </c>
      <c r="D515" s="1">
        <v>0.11</v>
      </c>
    </row>
    <row r="516" spans="1:4" x14ac:dyDescent="0.3">
      <c r="A516" s="1" t="s">
        <v>523</v>
      </c>
      <c r="B516" s="1">
        <v>948</v>
      </c>
      <c r="C516" s="1">
        <v>1</v>
      </c>
      <c r="D516" s="1">
        <v>0.11</v>
      </c>
    </row>
    <row r="517" spans="1:4" x14ac:dyDescent="0.3">
      <c r="A517" s="1" t="s">
        <v>524</v>
      </c>
      <c r="B517" s="1">
        <v>932</v>
      </c>
      <c r="C517" s="1">
        <v>1</v>
      </c>
      <c r="D517" s="1">
        <v>0.11</v>
      </c>
    </row>
    <row r="518" spans="1:4" x14ac:dyDescent="0.3">
      <c r="A518" s="1" t="s">
        <v>525</v>
      </c>
      <c r="B518" s="1">
        <v>1044</v>
      </c>
      <c r="C518" s="1">
        <v>1</v>
      </c>
      <c r="D518" s="1">
        <v>0.1</v>
      </c>
    </row>
    <row r="519" spans="1:4" x14ac:dyDescent="0.3">
      <c r="A519" s="1" t="s">
        <v>526</v>
      </c>
      <c r="B519" s="1">
        <v>1042</v>
      </c>
      <c r="C519" s="1">
        <v>1</v>
      </c>
      <c r="D519" s="1">
        <v>0.1</v>
      </c>
    </row>
    <row r="520" spans="1:4" x14ac:dyDescent="0.3">
      <c r="A520" s="1" t="s">
        <v>527</v>
      </c>
      <c r="B520" s="1">
        <v>1033</v>
      </c>
      <c r="C520" s="1">
        <v>1</v>
      </c>
      <c r="D520" s="1">
        <v>0.1</v>
      </c>
    </row>
    <row r="521" spans="1:4" x14ac:dyDescent="0.3">
      <c r="A521" s="1" t="s">
        <v>528</v>
      </c>
      <c r="B521" s="1">
        <v>1033</v>
      </c>
      <c r="C521" s="1">
        <v>1</v>
      </c>
      <c r="D521" s="1">
        <v>0.1</v>
      </c>
    </row>
    <row r="522" spans="1:4" x14ac:dyDescent="0.3">
      <c r="A522" s="1" t="s">
        <v>529</v>
      </c>
      <c r="B522" s="1">
        <v>1032</v>
      </c>
      <c r="C522" s="1">
        <v>1</v>
      </c>
      <c r="D522" s="1">
        <v>0.1</v>
      </c>
    </row>
    <row r="523" spans="1:4" x14ac:dyDescent="0.3">
      <c r="A523" s="1" t="s">
        <v>530</v>
      </c>
      <c r="B523" s="1">
        <v>1006</v>
      </c>
      <c r="C523" s="1">
        <v>1</v>
      </c>
      <c r="D523" s="1">
        <v>0.1</v>
      </c>
    </row>
    <row r="524" spans="1:4" x14ac:dyDescent="0.3">
      <c r="A524" s="1" t="s">
        <v>531</v>
      </c>
      <c r="B524" s="1">
        <v>1003</v>
      </c>
      <c r="C524" s="1">
        <v>1</v>
      </c>
      <c r="D524" s="1">
        <v>0.1</v>
      </c>
    </row>
    <row r="525" spans="1:4" x14ac:dyDescent="0.3">
      <c r="A525" s="1" t="s">
        <v>532</v>
      </c>
      <c r="B525" s="1">
        <v>997</v>
      </c>
      <c r="C525" s="1">
        <v>1</v>
      </c>
      <c r="D525" s="1">
        <v>0.1</v>
      </c>
    </row>
    <row r="526" spans="1:4" x14ac:dyDescent="0.3">
      <c r="A526" s="1" t="s">
        <v>533</v>
      </c>
      <c r="B526" s="1">
        <v>996</v>
      </c>
      <c r="C526" s="1">
        <v>1</v>
      </c>
      <c r="D526" s="1">
        <v>0.1</v>
      </c>
    </row>
    <row r="527" spans="1:4" x14ac:dyDescent="0.3">
      <c r="A527" s="1" t="s">
        <v>534</v>
      </c>
      <c r="B527" s="1">
        <v>995</v>
      </c>
      <c r="C527" s="1">
        <v>1</v>
      </c>
      <c r="D527" s="1">
        <v>0.1</v>
      </c>
    </row>
    <row r="528" spans="1:4" x14ac:dyDescent="0.3">
      <c r="A528" s="1" t="s">
        <v>535</v>
      </c>
      <c r="B528" s="1">
        <v>993</v>
      </c>
      <c r="C528" s="1">
        <v>1</v>
      </c>
      <c r="D528" s="1">
        <v>0.1</v>
      </c>
    </row>
    <row r="529" spans="1:4" x14ac:dyDescent="0.3">
      <c r="A529" s="1" t="s">
        <v>536</v>
      </c>
      <c r="B529" s="1">
        <v>986</v>
      </c>
      <c r="C529" s="1">
        <v>1</v>
      </c>
      <c r="D529" s="1">
        <v>0.1</v>
      </c>
    </row>
    <row r="530" spans="1:4" x14ac:dyDescent="0.3">
      <c r="A530" s="1" t="s">
        <v>537</v>
      </c>
      <c r="B530" s="1">
        <v>985</v>
      </c>
      <c r="C530" s="1">
        <v>1</v>
      </c>
      <c r="D530" s="1">
        <v>0.1</v>
      </c>
    </row>
    <row r="531" spans="1:4" x14ac:dyDescent="0.3">
      <c r="A531" s="1" t="s">
        <v>538</v>
      </c>
      <c r="B531" s="1">
        <v>983</v>
      </c>
      <c r="C531" s="1">
        <v>1</v>
      </c>
      <c r="D531" s="1">
        <v>0.1</v>
      </c>
    </row>
    <row r="532" spans="1:4" x14ac:dyDescent="0.3">
      <c r="A532" s="1" t="s">
        <v>539</v>
      </c>
      <c r="B532" s="1">
        <v>983</v>
      </c>
      <c r="C532" s="1">
        <v>1</v>
      </c>
      <c r="D532" s="1">
        <v>0.1</v>
      </c>
    </row>
    <row r="533" spans="1:4" x14ac:dyDescent="0.3">
      <c r="A533" s="1" t="s">
        <v>540</v>
      </c>
      <c r="B533" s="1">
        <v>982</v>
      </c>
      <c r="C533" s="1">
        <v>1</v>
      </c>
      <c r="D533" s="1">
        <v>0.1</v>
      </c>
    </row>
    <row r="534" spans="1:4" x14ac:dyDescent="0.3">
      <c r="A534" s="1" t="s">
        <v>541</v>
      </c>
      <c r="B534" s="1">
        <v>977</v>
      </c>
      <c r="C534" s="1">
        <v>1</v>
      </c>
      <c r="D534" s="1">
        <v>0.1</v>
      </c>
    </row>
    <row r="535" spans="1:4" x14ac:dyDescent="0.3">
      <c r="A535" s="1" t="s">
        <v>542</v>
      </c>
      <c r="B535" s="1">
        <v>976</v>
      </c>
      <c r="C535" s="1">
        <v>1</v>
      </c>
      <c r="D535" s="1">
        <v>0.1</v>
      </c>
    </row>
    <row r="536" spans="1:4" x14ac:dyDescent="0.3">
      <c r="A536" s="1" t="s">
        <v>543</v>
      </c>
      <c r="B536" s="1">
        <v>976</v>
      </c>
      <c r="C536" s="1">
        <v>1</v>
      </c>
      <c r="D536" s="1">
        <v>0.1</v>
      </c>
    </row>
    <row r="537" spans="1:4" x14ac:dyDescent="0.3">
      <c r="A537" s="1" t="s">
        <v>544</v>
      </c>
      <c r="B537" s="1">
        <v>973</v>
      </c>
      <c r="C537" s="1">
        <v>1</v>
      </c>
      <c r="D537" s="1">
        <v>0.1</v>
      </c>
    </row>
    <row r="538" spans="1:4" x14ac:dyDescent="0.3">
      <c r="A538" s="1" t="s">
        <v>545</v>
      </c>
      <c r="B538" s="1">
        <v>973</v>
      </c>
      <c r="C538" s="1">
        <v>1</v>
      </c>
      <c r="D538" s="1">
        <v>0.1</v>
      </c>
    </row>
    <row r="539" spans="1:4" x14ac:dyDescent="0.3">
      <c r="A539" s="1" t="s">
        <v>546</v>
      </c>
      <c r="B539" s="1">
        <v>963</v>
      </c>
      <c r="C539" s="1">
        <v>1</v>
      </c>
      <c r="D539" s="1">
        <v>0.1</v>
      </c>
    </row>
    <row r="540" spans="1:4" x14ac:dyDescent="0.3">
      <c r="A540" s="1" t="s">
        <v>547</v>
      </c>
      <c r="B540" s="1">
        <v>960</v>
      </c>
      <c r="C540" s="1">
        <v>1</v>
      </c>
      <c r="D540" s="1">
        <v>0.1</v>
      </c>
    </row>
    <row r="541" spans="1:4" x14ac:dyDescent="0.3">
      <c r="A541" s="1" t="s">
        <v>548</v>
      </c>
      <c r="B541" s="1">
        <v>959</v>
      </c>
      <c r="C541" s="1">
        <v>1</v>
      </c>
      <c r="D541" s="1">
        <v>0.1</v>
      </c>
    </row>
    <row r="542" spans="1:4" x14ac:dyDescent="0.3">
      <c r="A542" s="1" t="s">
        <v>549</v>
      </c>
      <c r="B542" s="1">
        <v>1163</v>
      </c>
      <c r="C542" s="1">
        <v>1</v>
      </c>
      <c r="D542" s="1">
        <v>0.09</v>
      </c>
    </row>
    <row r="543" spans="1:4" x14ac:dyDescent="0.3">
      <c r="A543" s="1" t="s">
        <v>550</v>
      </c>
      <c r="B543" s="1">
        <v>1152</v>
      </c>
      <c r="C543" s="1">
        <v>1</v>
      </c>
      <c r="D543" s="1">
        <v>0.09</v>
      </c>
    </row>
    <row r="544" spans="1:4" x14ac:dyDescent="0.3">
      <c r="A544" s="1" t="s">
        <v>551</v>
      </c>
      <c r="B544" s="1">
        <v>1138</v>
      </c>
      <c r="C544" s="1">
        <v>1</v>
      </c>
      <c r="D544" s="1">
        <v>0.09</v>
      </c>
    </row>
    <row r="545" spans="1:4" x14ac:dyDescent="0.3">
      <c r="A545" s="1" t="s">
        <v>552</v>
      </c>
      <c r="B545" s="1">
        <v>1125</v>
      </c>
      <c r="C545" s="1">
        <v>1</v>
      </c>
      <c r="D545" s="1">
        <v>0.09</v>
      </c>
    </row>
    <row r="546" spans="1:4" x14ac:dyDescent="0.3">
      <c r="A546" s="1" t="s">
        <v>553</v>
      </c>
      <c r="B546" s="1">
        <v>1117</v>
      </c>
      <c r="C546" s="1">
        <v>1</v>
      </c>
      <c r="D546" s="1">
        <v>0.09</v>
      </c>
    </row>
    <row r="547" spans="1:4" x14ac:dyDescent="0.3">
      <c r="A547" s="1" t="s">
        <v>554</v>
      </c>
      <c r="B547" s="1">
        <v>1086</v>
      </c>
      <c r="C547" s="1">
        <v>1</v>
      </c>
      <c r="D547" s="1">
        <v>0.09</v>
      </c>
    </row>
    <row r="548" spans="1:4" x14ac:dyDescent="0.3">
      <c r="A548" s="1" t="s">
        <v>555</v>
      </c>
      <c r="B548" s="1">
        <v>1080</v>
      </c>
      <c r="C548" s="1">
        <v>1</v>
      </c>
      <c r="D548" s="1">
        <v>0.09</v>
      </c>
    </row>
    <row r="549" spans="1:4" x14ac:dyDescent="0.3">
      <c r="A549" s="1" t="s">
        <v>556</v>
      </c>
      <c r="B549" s="1">
        <v>1078</v>
      </c>
      <c r="C549" s="1">
        <v>1</v>
      </c>
      <c r="D549" s="1">
        <v>0.09</v>
      </c>
    </row>
    <row r="550" spans="1:4" x14ac:dyDescent="0.3">
      <c r="A550" s="1" t="s">
        <v>557</v>
      </c>
      <c r="B550" s="1">
        <v>1072</v>
      </c>
      <c r="C550" s="1">
        <v>1</v>
      </c>
      <c r="D550" s="1">
        <v>0.09</v>
      </c>
    </row>
    <row r="551" spans="1:4" x14ac:dyDescent="0.3">
      <c r="A551" s="1" t="s">
        <v>558</v>
      </c>
      <c r="B551" s="1">
        <v>1064</v>
      </c>
      <c r="C551" s="1">
        <v>1</v>
      </c>
      <c r="D551" s="1">
        <v>0.09</v>
      </c>
    </row>
    <row r="552" spans="1:4" x14ac:dyDescent="0.3">
      <c r="A552" s="1" t="s">
        <v>559</v>
      </c>
      <c r="B552" s="1">
        <v>1064</v>
      </c>
      <c r="C552" s="1">
        <v>1</v>
      </c>
      <c r="D552" s="1">
        <v>0.09</v>
      </c>
    </row>
    <row r="553" spans="1:4" x14ac:dyDescent="0.3">
      <c r="A553" s="1" t="s">
        <v>560</v>
      </c>
      <c r="B553" s="1">
        <v>1061</v>
      </c>
      <c r="C553" s="1">
        <v>1</v>
      </c>
      <c r="D553" s="1">
        <v>0.09</v>
      </c>
    </row>
    <row r="554" spans="1:4" x14ac:dyDescent="0.3">
      <c r="A554" s="1" t="s">
        <v>561</v>
      </c>
      <c r="B554" s="1">
        <v>1061</v>
      </c>
      <c r="C554" s="1">
        <v>1</v>
      </c>
      <c r="D554" s="1">
        <v>0.09</v>
      </c>
    </row>
    <row r="555" spans="1:4" x14ac:dyDescent="0.3">
      <c r="A555" s="1" t="s">
        <v>562</v>
      </c>
      <c r="B555" s="1">
        <v>1060</v>
      </c>
      <c r="C555" s="1">
        <v>1</v>
      </c>
      <c r="D555" s="1">
        <v>0.09</v>
      </c>
    </row>
    <row r="556" spans="1:4" x14ac:dyDescent="0.3">
      <c r="A556" s="1" t="s">
        <v>563</v>
      </c>
      <c r="B556" s="1">
        <v>1054</v>
      </c>
      <c r="C556" s="1">
        <v>1</v>
      </c>
      <c r="D556" s="1">
        <v>0.09</v>
      </c>
    </row>
    <row r="557" spans="1:4" x14ac:dyDescent="0.3">
      <c r="A557" s="1" t="s">
        <v>564</v>
      </c>
      <c r="B557" s="1">
        <v>1053</v>
      </c>
      <c r="C557" s="1">
        <v>1</v>
      </c>
      <c r="D557" s="1">
        <v>0.09</v>
      </c>
    </row>
    <row r="558" spans="1:4" x14ac:dyDescent="0.3">
      <c r="A558" s="1" t="s">
        <v>565</v>
      </c>
      <c r="B558" s="1">
        <v>1519</v>
      </c>
      <c r="C558" s="1">
        <v>1</v>
      </c>
      <c r="D558" s="1">
        <v>7.0000000000000007E-2</v>
      </c>
    </row>
    <row r="559" spans="1:4" x14ac:dyDescent="0.3">
      <c r="A559" s="1" t="s">
        <v>566</v>
      </c>
      <c r="B559" s="1">
        <v>1112</v>
      </c>
      <c r="C559" s="1">
        <v>0</v>
      </c>
      <c r="D559" s="1">
        <v>0</v>
      </c>
    </row>
    <row r="560" spans="1:4" x14ac:dyDescent="0.3">
      <c r="A560" s="1" t="s">
        <v>567</v>
      </c>
      <c r="B560" s="1">
        <v>1091</v>
      </c>
      <c r="C560" s="1">
        <v>0</v>
      </c>
      <c r="D560" s="1">
        <v>0</v>
      </c>
    </row>
    <row r="561" spans="1:4" x14ac:dyDescent="0.3">
      <c r="A561" s="1" t="s">
        <v>568</v>
      </c>
      <c r="B561" s="1">
        <v>1087</v>
      </c>
      <c r="C561" s="1">
        <v>0</v>
      </c>
      <c r="D561" s="1">
        <v>0</v>
      </c>
    </row>
    <row r="562" spans="1:4" x14ac:dyDescent="0.3">
      <c r="A562" s="1" t="s">
        <v>569</v>
      </c>
      <c r="B562" s="1">
        <v>1071</v>
      </c>
      <c r="C562" s="1">
        <v>0</v>
      </c>
      <c r="D562" s="1">
        <v>0</v>
      </c>
    </row>
    <row r="563" spans="1:4" x14ac:dyDescent="0.3">
      <c r="A563" s="1" t="s">
        <v>570</v>
      </c>
      <c r="B563" s="1">
        <v>1064</v>
      </c>
      <c r="C563" s="1">
        <v>0</v>
      </c>
      <c r="D563" s="1">
        <v>0</v>
      </c>
    </row>
    <row r="564" spans="1:4" x14ac:dyDescent="0.3">
      <c r="A564" s="1" t="s">
        <v>571</v>
      </c>
      <c r="B564" s="1">
        <v>1062</v>
      </c>
      <c r="C564" s="1">
        <v>0</v>
      </c>
      <c r="D564" s="1">
        <v>0</v>
      </c>
    </row>
    <row r="565" spans="1:4" x14ac:dyDescent="0.3">
      <c r="A565" s="1" t="s">
        <v>572</v>
      </c>
      <c r="B565" s="1">
        <v>1059</v>
      </c>
      <c r="C565" s="1">
        <v>0</v>
      </c>
      <c r="D565" s="1">
        <v>0</v>
      </c>
    </row>
    <row r="566" spans="1:4" x14ac:dyDescent="0.3">
      <c r="A566" s="1" t="s">
        <v>573</v>
      </c>
      <c r="B566" s="1">
        <v>1056</v>
      </c>
      <c r="C566" s="1">
        <v>0</v>
      </c>
      <c r="D566" s="1">
        <v>0</v>
      </c>
    </row>
    <row r="567" spans="1:4" x14ac:dyDescent="0.3">
      <c r="A567" s="1" t="s">
        <v>574</v>
      </c>
      <c r="B567" s="1">
        <v>1044</v>
      </c>
      <c r="C567" s="1">
        <v>0</v>
      </c>
      <c r="D567" s="1">
        <v>0</v>
      </c>
    </row>
    <row r="568" spans="1:4" x14ac:dyDescent="0.3">
      <c r="A568" s="1" t="s">
        <v>575</v>
      </c>
      <c r="B568" s="1">
        <v>1040</v>
      </c>
      <c r="C568" s="1">
        <v>0</v>
      </c>
      <c r="D568" s="1">
        <v>0</v>
      </c>
    </row>
    <row r="569" spans="1:4" x14ac:dyDescent="0.3">
      <c r="A569" s="1" t="s">
        <v>576</v>
      </c>
      <c r="B569" s="1">
        <v>1032</v>
      </c>
      <c r="C569" s="1">
        <v>0</v>
      </c>
      <c r="D569" s="1">
        <v>0</v>
      </c>
    </row>
    <row r="570" spans="1:4" x14ac:dyDescent="0.3">
      <c r="A570" s="1" t="s">
        <v>577</v>
      </c>
      <c r="B570" s="1">
        <v>1025</v>
      </c>
      <c r="C570" s="1">
        <v>0</v>
      </c>
      <c r="D570" s="1">
        <v>0</v>
      </c>
    </row>
    <row r="571" spans="1:4" x14ac:dyDescent="0.3">
      <c r="A571" s="1" t="s">
        <v>578</v>
      </c>
      <c r="B571" s="1">
        <v>1025</v>
      </c>
      <c r="C571" s="1">
        <v>0</v>
      </c>
      <c r="D571" s="1">
        <v>0</v>
      </c>
    </row>
    <row r="572" spans="1:4" x14ac:dyDescent="0.3">
      <c r="A572" s="1" t="s">
        <v>579</v>
      </c>
      <c r="B572" s="1">
        <v>1020</v>
      </c>
      <c r="C572" s="1">
        <v>0</v>
      </c>
      <c r="D572" s="1">
        <v>0</v>
      </c>
    </row>
    <row r="573" spans="1:4" x14ac:dyDescent="0.3">
      <c r="A573" s="1" t="s">
        <v>580</v>
      </c>
      <c r="B573" s="1">
        <v>1019</v>
      </c>
      <c r="C573" s="1">
        <v>0</v>
      </c>
      <c r="D573" s="1">
        <v>0</v>
      </c>
    </row>
    <row r="574" spans="1:4" x14ac:dyDescent="0.3">
      <c r="A574" s="1" t="s">
        <v>581</v>
      </c>
      <c r="B574" s="1">
        <v>1014</v>
      </c>
      <c r="C574" s="1">
        <v>0</v>
      </c>
      <c r="D574" s="1">
        <v>0</v>
      </c>
    </row>
    <row r="575" spans="1:4" x14ac:dyDescent="0.3">
      <c r="A575" s="1" t="s">
        <v>582</v>
      </c>
      <c r="B575" s="1">
        <v>1008</v>
      </c>
      <c r="C575" s="1">
        <v>0</v>
      </c>
      <c r="D575" s="1">
        <v>0</v>
      </c>
    </row>
    <row r="576" spans="1:4" x14ac:dyDescent="0.3">
      <c r="A576" s="1" t="s">
        <v>583</v>
      </c>
      <c r="B576" s="1">
        <v>999</v>
      </c>
      <c r="C576" s="1">
        <v>0</v>
      </c>
      <c r="D576" s="1">
        <v>0</v>
      </c>
    </row>
    <row r="577" spans="1:4" x14ac:dyDescent="0.3">
      <c r="A577" s="1" t="s">
        <v>584</v>
      </c>
      <c r="B577" s="1">
        <v>988</v>
      </c>
      <c r="C577" s="1">
        <v>0</v>
      </c>
      <c r="D577" s="1">
        <v>0</v>
      </c>
    </row>
    <row r="578" spans="1:4" x14ac:dyDescent="0.3">
      <c r="A578" s="1" t="s">
        <v>585</v>
      </c>
      <c r="B578" s="1">
        <v>987</v>
      </c>
      <c r="C578" s="1">
        <v>0</v>
      </c>
      <c r="D578" s="1">
        <v>0</v>
      </c>
    </row>
    <row r="579" spans="1:4" x14ac:dyDescent="0.3">
      <c r="A579" s="1" t="s">
        <v>586</v>
      </c>
      <c r="B579" s="1">
        <v>973</v>
      </c>
      <c r="C579" s="1">
        <v>0</v>
      </c>
      <c r="D579" s="1">
        <v>0</v>
      </c>
    </row>
    <row r="580" spans="1:4" x14ac:dyDescent="0.3">
      <c r="A580" s="1" t="s">
        <v>587</v>
      </c>
      <c r="B580" s="1">
        <v>971</v>
      </c>
      <c r="C580" s="1">
        <v>0</v>
      </c>
      <c r="D580" s="1">
        <v>0</v>
      </c>
    </row>
    <row r="581" spans="1:4" x14ac:dyDescent="0.3">
      <c r="A581" s="1" t="s">
        <v>588</v>
      </c>
      <c r="B581" s="1">
        <v>971</v>
      </c>
      <c r="C581" s="1">
        <v>0</v>
      </c>
      <c r="D581" s="1">
        <v>0</v>
      </c>
    </row>
    <row r="582" spans="1:4" x14ac:dyDescent="0.3">
      <c r="A582" s="1" t="s">
        <v>589</v>
      </c>
      <c r="B582" s="1">
        <v>969</v>
      </c>
      <c r="C582" s="1">
        <v>0</v>
      </c>
      <c r="D582" s="1">
        <v>0</v>
      </c>
    </row>
    <row r="583" spans="1:4" x14ac:dyDescent="0.3">
      <c r="A583" s="1" t="s">
        <v>590</v>
      </c>
      <c r="B583" s="1">
        <v>965</v>
      </c>
      <c r="C583" s="1">
        <v>0</v>
      </c>
      <c r="D583" s="1">
        <v>0</v>
      </c>
    </row>
    <row r="584" spans="1:4" x14ac:dyDescent="0.3">
      <c r="A584" s="1" t="s">
        <v>591</v>
      </c>
      <c r="B584" s="1">
        <v>956</v>
      </c>
      <c r="C584" s="1">
        <v>0</v>
      </c>
      <c r="D584" s="1">
        <v>0</v>
      </c>
    </row>
    <row r="585" spans="1:4" x14ac:dyDescent="0.3">
      <c r="A585" s="1" t="s">
        <v>592</v>
      </c>
      <c r="B585" s="1">
        <v>955</v>
      </c>
      <c r="C585" s="1">
        <v>0</v>
      </c>
      <c r="D585" s="1">
        <v>0</v>
      </c>
    </row>
    <row r="586" spans="1:4" x14ac:dyDescent="0.3">
      <c r="A586" s="1" t="s">
        <v>593</v>
      </c>
      <c r="B586" s="1">
        <v>949</v>
      </c>
      <c r="C586" s="1">
        <v>0</v>
      </c>
      <c r="D586" s="1">
        <v>0</v>
      </c>
    </row>
    <row r="587" spans="1:4" x14ac:dyDescent="0.3">
      <c r="A587" s="1" t="s">
        <v>594</v>
      </c>
      <c r="B587" s="1">
        <v>948</v>
      </c>
      <c r="C587" s="1">
        <v>0</v>
      </c>
      <c r="D587" s="1">
        <v>0</v>
      </c>
    </row>
    <row r="588" spans="1:4" x14ac:dyDescent="0.3">
      <c r="A588" s="1" t="s">
        <v>595</v>
      </c>
      <c r="B588" s="1">
        <v>938</v>
      </c>
      <c r="C588" s="1">
        <v>0</v>
      </c>
      <c r="D588" s="1">
        <v>0</v>
      </c>
    </row>
    <row r="589" spans="1:4" x14ac:dyDescent="0.3">
      <c r="A589" s="1" t="s">
        <v>596</v>
      </c>
      <c r="B589" s="1">
        <v>932</v>
      </c>
      <c r="C589" s="1">
        <v>0</v>
      </c>
      <c r="D589" s="1">
        <v>0</v>
      </c>
    </row>
    <row r="590" spans="1:4" x14ac:dyDescent="0.3">
      <c r="A590" s="1" t="s">
        <v>597</v>
      </c>
      <c r="B590" s="1">
        <v>927</v>
      </c>
      <c r="C590" s="1">
        <v>0</v>
      </c>
      <c r="D590" s="1">
        <v>0</v>
      </c>
    </row>
    <row r="591" spans="1:4" x14ac:dyDescent="0.3">
      <c r="A591" s="1" t="s">
        <v>598</v>
      </c>
      <c r="B591" s="1">
        <v>875</v>
      </c>
      <c r="C591" s="1">
        <v>0</v>
      </c>
      <c r="D591" s="1">
        <v>0</v>
      </c>
    </row>
    <row r="592" spans="1:4" x14ac:dyDescent="0.3">
      <c r="A592" s="1" t="s">
        <v>599</v>
      </c>
      <c r="B592" s="1">
        <v>861</v>
      </c>
      <c r="C592" s="1">
        <v>0</v>
      </c>
      <c r="D592" s="1">
        <v>0</v>
      </c>
    </row>
    <row r="593" spans="1:4" x14ac:dyDescent="0.3">
      <c r="A593" s="1" t="s">
        <v>600</v>
      </c>
      <c r="B593" s="1">
        <v>855</v>
      </c>
      <c r="C593" s="1">
        <v>0</v>
      </c>
      <c r="D593" s="1">
        <v>0</v>
      </c>
    </row>
    <row r="594" spans="1:4" x14ac:dyDescent="0.3">
      <c r="A594" s="1" t="s">
        <v>601</v>
      </c>
      <c r="B594" s="1">
        <v>839</v>
      </c>
      <c r="C594" s="1">
        <v>0</v>
      </c>
      <c r="D594" s="1">
        <v>0</v>
      </c>
    </row>
    <row r="595" spans="1:4" x14ac:dyDescent="0.3">
      <c r="A595" s="1" t="s">
        <v>602</v>
      </c>
      <c r="B595" s="1">
        <v>838</v>
      </c>
      <c r="C595" s="1">
        <v>0</v>
      </c>
      <c r="D595" s="1">
        <v>0</v>
      </c>
    </row>
    <row r="596" spans="1:4" x14ac:dyDescent="0.3">
      <c r="A596" s="1" t="s">
        <v>603</v>
      </c>
      <c r="B596" s="1">
        <v>836</v>
      </c>
      <c r="C596" s="1">
        <v>0</v>
      </c>
      <c r="D596" s="1">
        <v>0</v>
      </c>
    </row>
    <row r="597" spans="1:4" x14ac:dyDescent="0.3">
      <c r="A597" s="1" t="s">
        <v>604</v>
      </c>
      <c r="B597" s="1">
        <v>835</v>
      </c>
      <c r="C597" s="1">
        <v>0</v>
      </c>
      <c r="D597" s="1">
        <v>0</v>
      </c>
    </row>
    <row r="598" spans="1:4" x14ac:dyDescent="0.3">
      <c r="A598" s="1" t="s">
        <v>605</v>
      </c>
      <c r="B598" s="1">
        <v>834</v>
      </c>
      <c r="C598" s="1">
        <v>0</v>
      </c>
      <c r="D598" s="1">
        <v>0</v>
      </c>
    </row>
    <row r="599" spans="1:4" x14ac:dyDescent="0.3">
      <c r="A599" s="1" t="s">
        <v>606</v>
      </c>
      <c r="B599" s="1">
        <v>822</v>
      </c>
      <c r="C599" s="1">
        <v>0</v>
      </c>
      <c r="D599" s="1">
        <v>0</v>
      </c>
    </row>
    <row r="600" spans="1:4" x14ac:dyDescent="0.3">
      <c r="A600" s="1" t="s">
        <v>607</v>
      </c>
      <c r="B600" s="1">
        <v>817</v>
      </c>
      <c r="C600" s="1">
        <v>0</v>
      </c>
      <c r="D600" s="1">
        <v>0</v>
      </c>
    </row>
    <row r="601" spans="1:4" x14ac:dyDescent="0.3">
      <c r="A601" s="1" t="s">
        <v>608</v>
      </c>
      <c r="B601" s="1">
        <v>815</v>
      </c>
      <c r="C601" s="1">
        <v>0</v>
      </c>
      <c r="D601" s="1">
        <v>0</v>
      </c>
    </row>
    <row r="602" spans="1:4" x14ac:dyDescent="0.3">
      <c r="A602" s="1" t="s">
        <v>609</v>
      </c>
      <c r="B602" s="1">
        <v>815</v>
      </c>
      <c r="C602" s="1">
        <v>0</v>
      </c>
      <c r="D602" s="1">
        <v>0</v>
      </c>
    </row>
    <row r="603" spans="1:4" x14ac:dyDescent="0.3">
      <c r="A603" s="1" t="s">
        <v>610</v>
      </c>
      <c r="B603" s="1">
        <v>812</v>
      </c>
      <c r="C603" s="1">
        <v>0</v>
      </c>
      <c r="D603" s="1">
        <v>0</v>
      </c>
    </row>
    <row r="604" spans="1:4" x14ac:dyDescent="0.3">
      <c r="A604" s="1" t="s">
        <v>611</v>
      </c>
      <c r="B604" s="1">
        <v>810</v>
      </c>
      <c r="C604" s="1">
        <v>0</v>
      </c>
      <c r="D604" s="1">
        <v>0</v>
      </c>
    </row>
    <row r="605" spans="1:4" x14ac:dyDescent="0.3">
      <c r="A605" s="1" t="s">
        <v>612</v>
      </c>
      <c r="B605" s="1">
        <v>803</v>
      </c>
      <c r="C605" s="1">
        <v>0</v>
      </c>
      <c r="D605" s="1">
        <v>0</v>
      </c>
    </row>
    <row r="606" spans="1:4" x14ac:dyDescent="0.3">
      <c r="A606" s="1" t="s">
        <v>613</v>
      </c>
      <c r="B606" s="1">
        <v>803</v>
      </c>
      <c r="C606" s="1">
        <v>0</v>
      </c>
      <c r="D606" s="1">
        <v>0</v>
      </c>
    </row>
    <row r="607" spans="1:4" x14ac:dyDescent="0.3">
      <c r="A607" s="1" t="s">
        <v>614</v>
      </c>
      <c r="B607" s="1">
        <v>798</v>
      </c>
      <c r="C607" s="1">
        <v>0</v>
      </c>
      <c r="D607" s="1">
        <v>0</v>
      </c>
    </row>
    <row r="608" spans="1:4" x14ac:dyDescent="0.3">
      <c r="A608" s="1" t="s">
        <v>615</v>
      </c>
      <c r="B608" s="1">
        <v>796</v>
      </c>
      <c r="C608" s="1">
        <v>0</v>
      </c>
      <c r="D608" s="1">
        <v>0</v>
      </c>
    </row>
    <row r="609" spans="1:4" x14ac:dyDescent="0.3">
      <c r="A609" s="1" t="s">
        <v>616</v>
      </c>
      <c r="B609" s="1">
        <v>794</v>
      </c>
      <c r="C609" s="1">
        <v>0</v>
      </c>
      <c r="D609" s="1">
        <v>0</v>
      </c>
    </row>
    <row r="610" spans="1:4" x14ac:dyDescent="0.3">
      <c r="A610" s="1" t="s">
        <v>617</v>
      </c>
      <c r="B610" s="1">
        <v>794</v>
      </c>
      <c r="C610" s="1">
        <v>0</v>
      </c>
      <c r="D610" s="1">
        <v>0</v>
      </c>
    </row>
    <row r="611" spans="1:4" x14ac:dyDescent="0.3">
      <c r="A611" s="1" t="s">
        <v>618</v>
      </c>
      <c r="B611" s="1">
        <v>792</v>
      </c>
      <c r="C611" s="1">
        <v>0</v>
      </c>
      <c r="D611" s="1">
        <v>0</v>
      </c>
    </row>
    <row r="612" spans="1:4" x14ac:dyDescent="0.3">
      <c r="A612" s="1" t="s">
        <v>619</v>
      </c>
      <c r="B612" s="1">
        <v>789</v>
      </c>
      <c r="C612" s="1">
        <v>0</v>
      </c>
      <c r="D612" s="1">
        <v>0</v>
      </c>
    </row>
    <row r="613" spans="1:4" x14ac:dyDescent="0.3">
      <c r="A613" s="1" t="s">
        <v>620</v>
      </c>
      <c r="B613" s="1">
        <v>787</v>
      </c>
      <c r="C613" s="1">
        <v>0</v>
      </c>
      <c r="D613" s="1">
        <v>0</v>
      </c>
    </row>
    <row r="614" spans="1:4" x14ac:dyDescent="0.3">
      <c r="A614" s="1" t="s">
        <v>621</v>
      </c>
      <c r="B614" s="1">
        <v>786</v>
      </c>
      <c r="C614" s="1">
        <v>0</v>
      </c>
      <c r="D614" s="1">
        <v>0</v>
      </c>
    </row>
    <row r="615" spans="1:4" x14ac:dyDescent="0.3">
      <c r="A615" s="1" t="s">
        <v>622</v>
      </c>
      <c r="B615" s="1">
        <v>783</v>
      </c>
      <c r="C615" s="1">
        <v>0</v>
      </c>
      <c r="D615" s="1">
        <v>0</v>
      </c>
    </row>
    <row r="616" spans="1:4" x14ac:dyDescent="0.3">
      <c r="A616" s="1" t="s">
        <v>623</v>
      </c>
      <c r="B616" s="1">
        <v>779</v>
      </c>
      <c r="C616" s="1">
        <v>0</v>
      </c>
      <c r="D616" s="1">
        <v>0</v>
      </c>
    </row>
    <row r="617" spans="1:4" x14ac:dyDescent="0.3">
      <c r="A617" s="1" t="s">
        <v>624</v>
      </c>
      <c r="B617" s="1">
        <v>777</v>
      </c>
      <c r="C617" s="1">
        <v>0</v>
      </c>
      <c r="D617" s="1">
        <v>0</v>
      </c>
    </row>
    <row r="618" spans="1:4" x14ac:dyDescent="0.3">
      <c r="A618" s="1" t="s">
        <v>625</v>
      </c>
      <c r="B618" s="1">
        <v>775</v>
      </c>
      <c r="C618" s="1">
        <v>0</v>
      </c>
      <c r="D618" s="1">
        <v>0</v>
      </c>
    </row>
    <row r="619" spans="1:4" x14ac:dyDescent="0.3">
      <c r="A619" s="1" t="s">
        <v>626</v>
      </c>
      <c r="B619" s="1">
        <v>774</v>
      </c>
      <c r="C619" s="1">
        <v>0</v>
      </c>
      <c r="D619" s="1">
        <v>0</v>
      </c>
    </row>
    <row r="620" spans="1:4" x14ac:dyDescent="0.3">
      <c r="A620" s="1" t="s">
        <v>627</v>
      </c>
      <c r="B620" s="1">
        <v>773</v>
      </c>
      <c r="C620" s="1">
        <v>0</v>
      </c>
      <c r="D620" s="1">
        <v>0</v>
      </c>
    </row>
    <row r="621" spans="1:4" x14ac:dyDescent="0.3">
      <c r="A621" s="1" t="s">
        <v>628</v>
      </c>
      <c r="B621" s="1">
        <v>773</v>
      </c>
      <c r="C621" s="1">
        <v>0</v>
      </c>
      <c r="D621" s="1">
        <v>0</v>
      </c>
    </row>
    <row r="622" spans="1:4" x14ac:dyDescent="0.3">
      <c r="A622" s="1" t="s">
        <v>629</v>
      </c>
      <c r="B622" s="1">
        <v>766</v>
      </c>
      <c r="C622" s="1">
        <v>0</v>
      </c>
      <c r="D622" s="1">
        <v>0</v>
      </c>
    </row>
    <row r="623" spans="1:4" x14ac:dyDescent="0.3">
      <c r="A623" s="1" t="s">
        <v>630</v>
      </c>
      <c r="B623" s="1">
        <v>766</v>
      </c>
      <c r="C623" s="1">
        <v>0</v>
      </c>
      <c r="D623" s="1">
        <v>0</v>
      </c>
    </row>
    <row r="624" spans="1:4" x14ac:dyDescent="0.3">
      <c r="A624" s="1" t="s">
        <v>631</v>
      </c>
      <c r="B624" s="1">
        <v>766</v>
      </c>
      <c r="C624" s="1">
        <v>0</v>
      </c>
      <c r="D624" s="1">
        <v>0</v>
      </c>
    </row>
    <row r="625" spans="1:4" x14ac:dyDescent="0.3">
      <c r="A625" s="1" t="s">
        <v>632</v>
      </c>
      <c r="B625" s="1">
        <v>762</v>
      </c>
      <c r="C625" s="1">
        <v>0</v>
      </c>
      <c r="D625" s="1">
        <v>0</v>
      </c>
    </row>
    <row r="626" spans="1:4" x14ac:dyDescent="0.3">
      <c r="A626" s="1" t="s">
        <v>633</v>
      </c>
      <c r="B626" s="1">
        <v>758</v>
      </c>
      <c r="C626" s="1">
        <v>0</v>
      </c>
      <c r="D626" s="1">
        <v>0</v>
      </c>
    </row>
    <row r="627" spans="1:4" x14ac:dyDescent="0.3">
      <c r="A627" s="1" t="s">
        <v>634</v>
      </c>
      <c r="B627" s="1">
        <v>756</v>
      </c>
      <c r="C627" s="1">
        <v>0</v>
      </c>
      <c r="D627" s="1">
        <v>0</v>
      </c>
    </row>
    <row r="628" spans="1:4" x14ac:dyDescent="0.3">
      <c r="A628" s="1" t="s">
        <v>635</v>
      </c>
      <c r="B628" s="1">
        <v>754</v>
      </c>
      <c r="C628" s="1">
        <v>0</v>
      </c>
      <c r="D628" s="1">
        <v>0</v>
      </c>
    </row>
    <row r="629" spans="1:4" x14ac:dyDescent="0.3">
      <c r="A629" s="1" t="s">
        <v>636</v>
      </c>
      <c r="B629" s="1">
        <v>749</v>
      </c>
      <c r="C629" s="1">
        <v>0</v>
      </c>
      <c r="D629" s="1">
        <v>0</v>
      </c>
    </row>
    <row r="630" spans="1:4" x14ac:dyDescent="0.3">
      <c r="A630" s="1" t="s">
        <v>637</v>
      </c>
      <c r="B630" s="1">
        <v>746</v>
      </c>
      <c r="C630" s="1">
        <v>0</v>
      </c>
      <c r="D630" s="1">
        <v>0</v>
      </c>
    </row>
    <row r="631" spans="1:4" x14ac:dyDescent="0.3">
      <c r="A631" s="1" t="s">
        <v>638</v>
      </c>
      <c r="B631" s="1">
        <v>745</v>
      </c>
      <c r="C631" s="1">
        <v>0</v>
      </c>
      <c r="D631" s="1">
        <v>0</v>
      </c>
    </row>
    <row r="632" spans="1:4" x14ac:dyDescent="0.3">
      <c r="A632" s="1" t="s">
        <v>639</v>
      </c>
      <c r="B632" s="1">
        <v>744</v>
      </c>
      <c r="C632" s="1">
        <v>0</v>
      </c>
      <c r="D632" s="1">
        <v>0</v>
      </c>
    </row>
    <row r="633" spans="1:4" x14ac:dyDescent="0.3">
      <c r="A633" s="1" t="s">
        <v>640</v>
      </c>
      <c r="B633" s="1">
        <v>743</v>
      </c>
      <c r="C633" s="1">
        <v>0</v>
      </c>
      <c r="D633" s="1">
        <v>0</v>
      </c>
    </row>
    <row r="634" spans="1:4" x14ac:dyDescent="0.3">
      <c r="A634" s="1" t="s">
        <v>641</v>
      </c>
      <c r="B634" s="1">
        <v>742</v>
      </c>
      <c r="C634" s="1">
        <v>0</v>
      </c>
      <c r="D634" s="1">
        <v>0</v>
      </c>
    </row>
    <row r="635" spans="1:4" x14ac:dyDescent="0.3">
      <c r="A635" s="1" t="s">
        <v>642</v>
      </c>
      <c r="B635" s="1">
        <v>740</v>
      </c>
      <c r="C635" s="1">
        <v>0</v>
      </c>
      <c r="D635" s="1">
        <v>0</v>
      </c>
    </row>
    <row r="636" spans="1:4" x14ac:dyDescent="0.3">
      <c r="A636" s="1" t="s">
        <v>643</v>
      </c>
      <c r="B636" s="1">
        <v>737</v>
      </c>
      <c r="C636" s="1">
        <v>0</v>
      </c>
      <c r="D636" s="1">
        <v>0</v>
      </c>
    </row>
    <row r="637" spans="1:4" x14ac:dyDescent="0.3">
      <c r="A637" s="1" t="s">
        <v>644</v>
      </c>
      <c r="B637" s="1">
        <v>734</v>
      </c>
      <c r="C637" s="1">
        <v>0</v>
      </c>
      <c r="D637" s="1">
        <v>0</v>
      </c>
    </row>
    <row r="638" spans="1:4" x14ac:dyDescent="0.3">
      <c r="A638" s="1" t="s">
        <v>645</v>
      </c>
      <c r="B638" s="1">
        <v>732</v>
      </c>
      <c r="C638" s="1">
        <v>0</v>
      </c>
      <c r="D638" s="1">
        <v>0</v>
      </c>
    </row>
    <row r="639" spans="1:4" x14ac:dyDescent="0.3">
      <c r="A639" s="1" t="s">
        <v>646</v>
      </c>
      <c r="B639" s="1">
        <v>726</v>
      </c>
      <c r="C639" s="1">
        <v>0</v>
      </c>
      <c r="D639" s="1">
        <v>0</v>
      </c>
    </row>
    <row r="640" spans="1:4" x14ac:dyDescent="0.3">
      <c r="A640" s="1" t="s">
        <v>647</v>
      </c>
      <c r="B640" s="1">
        <v>724</v>
      </c>
      <c r="C640" s="1">
        <v>0</v>
      </c>
      <c r="D640" s="1">
        <v>0</v>
      </c>
    </row>
    <row r="641" spans="1:4" x14ac:dyDescent="0.3">
      <c r="A641" s="1" t="s">
        <v>648</v>
      </c>
      <c r="B641" s="1">
        <v>723</v>
      </c>
      <c r="C641" s="1">
        <v>0</v>
      </c>
      <c r="D641" s="1">
        <v>0</v>
      </c>
    </row>
    <row r="642" spans="1:4" x14ac:dyDescent="0.3">
      <c r="A642" s="1" t="s">
        <v>649</v>
      </c>
      <c r="B642" s="1">
        <v>722</v>
      </c>
      <c r="C642" s="1">
        <v>0</v>
      </c>
      <c r="D642" s="1">
        <v>0</v>
      </c>
    </row>
    <row r="643" spans="1:4" x14ac:dyDescent="0.3">
      <c r="A643" s="1" t="s">
        <v>650</v>
      </c>
      <c r="B643" s="1">
        <v>719</v>
      </c>
      <c r="C643" s="1">
        <v>0</v>
      </c>
      <c r="D643" s="1">
        <v>0</v>
      </c>
    </row>
    <row r="644" spans="1:4" x14ac:dyDescent="0.3">
      <c r="A644" s="1" t="s">
        <v>651</v>
      </c>
      <c r="B644" s="1">
        <v>715</v>
      </c>
      <c r="C644" s="1">
        <v>0</v>
      </c>
      <c r="D644" s="1">
        <v>0</v>
      </c>
    </row>
    <row r="645" spans="1:4" x14ac:dyDescent="0.3">
      <c r="A645" s="1" t="s">
        <v>652</v>
      </c>
      <c r="B645" s="1">
        <v>713</v>
      </c>
      <c r="C645" s="1">
        <v>0</v>
      </c>
      <c r="D645" s="1">
        <v>0</v>
      </c>
    </row>
    <row r="646" spans="1:4" x14ac:dyDescent="0.3">
      <c r="A646" s="1" t="s">
        <v>653</v>
      </c>
      <c r="B646" s="1">
        <v>710</v>
      </c>
      <c r="C646" s="1">
        <v>0</v>
      </c>
      <c r="D646" s="1">
        <v>0</v>
      </c>
    </row>
    <row r="647" spans="1:4" x14ac:dyDescent="0.3">
      <c r="A647" s="1" t="s">
        <v>654</v>
      </c>
      <c r="B647" s="1">
        <v>702</v>
      </c>
      <c r="C647" s="1">
        <v>0</v>
      </c>
      <c r="D647" s="1">
        <v>0</v>
      </c>
    </row>
    <row r="648" spans="1:4" x14ac:dyDescent="0.3">
      <c r="A648" s="1" t="s">
        <v>655</v>
      </c>
      <c r="B648" s="1">
        <v>701</v>
      </c>
      <c r="C648" s="1">
        <v>0</v>
      </c>
      <c r="D648" s="1">
        <v>0</v>
      </c>
    </row>
    <row r="649" spans="1:4" x14ac:dyDescent="0.3">
      <c r="A649" s="1" t="s">
        <v>656</v>
      </c>
      <c r="B649" s="1">
        <v>684</v>
      </c>
      <c r="C649" s="1">
        <v>0</v>
      </c>
      <c r="D649" s="1">
        <v>0</v>
      </c>
    </row>
    <row r="650" spans="1:4" x14ac:dyDescent="0.3">
      <c r="A650" s="1" t="s">
        <v>657</v>
      </c>
      <c r="B650" s="1">
        <v>683</v>
      </c>
      <c r="C650" s="1">
        <v>0</v>
      </c>
      <c r="D650" s="1">
        <v>0</v>
      </c>
    </row>
    <row r="651" spans="1:4" x14ac:dyDescent="0.3">
      <c r="A651" s="1" t="s">
        <v>658</v>
      </c>
      <c r="B651" s="1">
        <v>673</v>
      </c>
      <c r="C651" s="1">
        <v>0</v>
      </c>
      <c r="D651" s="1">
        <v>0</v>
      </c>
    </row>
    <row r="652" spans="1:4" x14ac:dyDescent="0.3">
      <c r="A652" s="1" t="s">
        <v>659</v>
      </c>
      <c r="B652" s="1">
        <v>659</v>
      </c>
      <c r="C652" s="1">
        <v>0</v>
      </c>
      <c r="D652" s="1">
        <v>0</v>
      </c>
    </row>
    <row r="653" spans="1:4" x14ac:dyDescent="0.3">
      <c r="A653" s="1" t="s">
        <v>660</v>
      </c>
      <c r="B653" s="1">
        <v>656</v>
      </c>
      <c r="C653" s="1">
        <v>0</v>
      </c>
      <c r="D653" s="1">
        <v>0</v>
      </c>
    </row>
    <row r="654" spans="1:4" x14ac:dyDescent="0.3">
      <c r="A654" s="1" t="s">
        <v>661</v>
      </c>
      <c r="B654" s="1">
        <v>654</v>
      </c>
      <c r="C654" s="1">
        <v>0</v>
      </c>
      <c r="D654" s="1">
        <v>0</v>
      </c>
    </row>
    <row r="655" spans="1:4" x14ac:dyDescent="0.3">
      <c r="A655" s="1" t="s">
        <v>662</v>
      </c>
      <c r="B655" s="1">
        <v>532</v>
      </c>
      <c r="C655" s="1">
        <v>0</v>
      </c>
      <c r="D655" s="1">
        <v>0</v>
      </c>
    </row>
    <row r="656" spans="1:4" x14ac:dyDescent="0.3">
      <c r="A656" s="1" t="s">
        <v>663</v>
      </c>
      <c r="B656" s="1">
        <v>415</v>
      </c>
      <c r="C656" s="1">
        <v>0</v>
      </c>
      <c r="D656" s="1">
        <v>0</v>
      </c>
    </row>
    <row r="657" spans="1:4" x14ac:dyDescent="0.3">
      <c r="A657" s="1" t="s">
        <v>664</v>
      </c>
      <c r="B657" s="1">
        <v>414</v>
      </c>
      <c r="C657" s="1">
        <v>0</v>
      </c>
      <c r="D657" s="1">
        <v>0</v>
      </c>
    </row>
    <row r="658" spans="1:4" x14ac:dyDescent="0.3">
      <c r="A658" s="1" t="s">
        <v>665</v>
      </c>
      <c r="B658" s="1">
        <v>411</v>
      </c>
      <c r="C658" s="1">
        <v>0</v>
      </c>
      <c r="D658" s="1">
        <v>0</v>
      </c>
    </row>
    <row r="659" spans="1:4" x14ac:dyDescent="0.3">
      <c r="A659" s="1" t="s">
        <v>666</v>
      </c>
      <c r="B659" s="1">
        <v>404</v>
      </c>
      <c r="C659" s="1">
        <v>0</v>
      </c>
      <c r="D659" s="1">
        <v>0</v>
      </c>
    </row>
    <row r="660" spans="1:4" x14ac:dyDescent="0.3">
      <c r="A660" s="1" t="s">
        <v>667</v>
      </c>
      <c r="B660" s="1">
        <v>394</v>
      </c>
      <c r="C660" s="1">
        <v>0</v>
      </c>
      <c r="D660" s="1">
        <v>0</v>
      </c>
    </row>
    <row r="661" spans="1:4" x14ac:dyDescent="0.3">
      <c r="A661" s="1" t="s">
        <v>668</v>
      </c>
      <c r="B661" s="1">
        <v>394</v>
      </c>
      <c r="C661" s="1">
        <v>0</v>
      </c>
      <c r="D661" s="1">
        <v>0</v>
      </c>
    </row>
    <row r="662" spans="1:4" x14ac:dyDescent="0.3">
      <c r="A662" s="1" t="s">
        <v>669</v>
      </c>
      <c r="B662" s="1">
        <v>394</v>
      </c>
      <c r="C662" s="1">
        <v>0</v>
      </c>
      <c r="D662" s="1">
        <v>0</v>
      </c>
    </row>
    <row r="663" spans="1:4" x14ac:dyDescent="0.3">
      <c r="A663" s="1" t="s">
        <v>670</v>
      </c>
      <c r="B663" s="1">
        <v>393</v>
      </c>
      <c r="C663" s="1">
        <v>0</v>
      </c>
      <c r="D663" s="1">
        <v>0</v>
      </c>
    </row>
    <row r="664" spans="1:4" x14ac:dyDescent="0.3">
      <c r="A664" s="1" t="s">
        <v>671</v>
      </c>
      <c r="B664" s="1">
        <v>391</v>
      </c>
      <c r="C664" s="1">
        <v>0</v>
      </c>
      <c r="D664" s="1">
        <v>0</v>
      </c>
    </row>
    <row r="665" spans="1:4" x14ac:dyDescent="0.3">
      <c r="A665" s="1" t="s">
        <v>672</v>
      </c>
      <c r="B665" s="1">
        <v>389</v>
      </c>
      <c r="C665" s="1">
        <v>0</v>
      </c>
      <c r="D665" s="1">
        <v>0</v>
      </c>
    </row>
    <row r="666" spans="1:4" x14ac:dyDescent="0.3">
      <c r="A666" s="1" t="s">
        <v>673</v>
      </c>
      <c r="B666" s="1">
        <v>389</v>
      </c>
      <c r="C666" s="1">
        <v>0</v>
      </c>
      <c r="D666" s="1">
        <v>0</v>
      </c>
    </row>
    <row r="667" spans="1:4" x14ac:dyDescent="0.3">
      <c r="A667" s="1" t="s">
        <v>674</v>
      </c>
      <c r="B667" s="1">
        <v>389</v>
      </c>
      <c r="C667" s="1">
        <v>0</v>
      </c>
      <c r="D667" s="1">
        <v>0</v>
      </c>
    </row>
    <row r="668" spans="1:4" x14ac:dyDescent="0.3">
      <c r="A668" s="1" t="s">
        <v>675</v>
      </c>
      <c r="B668" s="1">
        <v>384</v>
      </c>
      <c r="C668" s="1">
        <v>0</v>
      </c>
      <c r="D668" s="1">
        <v>0</v>
      </c>
    </row>
    <row r="669" spans="1:4" x14ac:dyDescent="0.3">
      <c r="A669" s="1" t="s">
        <v>676</v>
      </c>
      <c r="B669" s="1">
        <v>382</v>
      </c>
      <c r="C669" s="1">
        <v>0</v>
      </c>
      <c r="D669" s="1">
        <v>0</v>
      </c>
    </row>
    <row r="670" spans="1:4" x14ac:dyDescent="0.3">
      <c r="A670" s="1" t="s">
        <v>677</v>
      </c>
      <c r="B670" s="1">
        <v>382</v>
      </c>
      <c r="C670" s="1">
        <v>0</v>
      </c>
      <c r="D670" s="1">
        <v>0</v>
      </c>
    </row>
    <row r="671" spans="1:4" x14ac:dyDescent="0.3">
      <c r="A671" s="1" t="s">
        <v>678</v>
      </c>
      <c r="B671" s="1">
        <v>380</v>
      </c>
      <c r="C671" s="1">
        <v>0</v>
      </c>
      <c r="D671" s="1">
        <v>0</v>
      </c>
    </row>
    <row r="672" spans="1:4" x14ac:dyDescent="0.3">
      <c r="A672" s="1" t="s">
        <v>679</v>
      </c>
      <c r="B672" s="1">
        <v>378</v>
      </c>
      <c r="C672" s="1">
        <v>0</v>
      </c>
      <c r="D672" s="1">
        <v>0</v>
      </c>
    </row>
    <row r="673" spans="1:4" x14ac:dyDescent="0.3">
      <c r="A673" s="1" t="s">
        <v>680</v>
      </c>
      <c r="B673" s="1">
        <v>370</v>
      </c>
      <c r="C673" s="1">
        <v>0</v>
      </c>
      <c r="D673" s="1">
        <v>0</v>
      </c>
    </row>
    <row r="674" spans="1:4" x14ac:dyDescent="0.3">
      <c r="A674" s="1" t="s">
        <v>681</v>
      </c>
      <c r="B674" s="1">
        <v>370</v>
      </c>
      <c r="C674" s="1">
        <v>0</v>
      </c>
      <c r="D674" s="1">
        <v>0</v>
      </c>
    </row>
    <row r="675" spans="1:4" x14ac:dyDescent="0.3">
      <c r="A675" s="1" t="s">
        <v>682</v>
      </c>
      <c r="B675" s="1">
        <v>369</v>
      </c>
      <c r="C675" s="1">
        <v>0</v>
      </c>
      <c r="D675" s="1">
        <v>0</v>
      </c>
    </row>
    <row r="676" spans="1:4" x14ac:dyDescent="0.3">
      <c r="A676" s="1" t="s">
        <v>683</v>
      </c>
      <c r="B676" s="1">
        <v>368</v>
      </c>
      <c r="C676" s="1">
        <v>0</v>
      </c>
      <c r="D676" s="1">
        <v>0</v>
      </c>
    </row>
    <row r="677" spans="1:4" x14ac:dyDescent="0.3">
      <c r="A677" s="1" t="s">
        <v>684</v>
      </c>
      <c r="B677" s="1">
        <v>367</v>
      </c>
      <c r="C677" s="1">
        <v>0</v>
      </c>
      <c r="D677" s="1">
        <v>0</v>
      </c>
    </row>
    <row r="678" spans="1:4" x14ac:dyDescent="0.3">
      <c r="A678" s="1" t="s">
        <v>685</v>
      </c>
      <c r="B678" s="1">
        <v>366</v>
      </c>
      <c r="C678" s="1">
        <v>0</v>
      </c>
      <c r="D678" s="1">
        <v>0</v>
      </c>
    </row>
    <row r="679" spans="1:4" x14ac:dyDescent="0.3">
      <c r="A679" s="1" t="s">
        <v>686</v>
      </c>
      <c r="B679" s="1">
        <v>364</v>
      </c>
      <c r="C679" s="1">
        <v>0</v>
      </c>
      <c r="D679" s="1">
        <v>0</v>
      </c>
    </row>
    <row r="680" spans="1:4" x14ac:dyDescent="0.3">
      <c r="A680" s="1" t="s">
        <v>687</v>
      </c>
      <c r="B680" s="1">
        <v>354</v>
      </c>
      <c r="C680" s="1">
        <v>0</v>
      </c>
      <c r="D680" s="1">
        <v>0</v>
      </c>
    </row>
    <row r="681" spans="1:4" x14ac:dyDescent="0.3">
      <c r="A681" s="1" t="s">
        <v>688</v>
      </c>
      <c r="B681" s="1">
        <v>352</v>
      </c>
      <c r="C681" s="1">
        <v>0</v>
      </c>
      <c r="D681" s="1">
        <v>0</v>
      </c>
    </row>
    <row r="682" spans="1:4" x14ac:dyDescent="0.3">
      <c r="A682" s="1" t="s">
        <v>689</v>
      </c>
      <c r="B682" s="1">
        <v>351</v>
      </c>
      <c r="C682" s="1">
        <v>0</v>
      </c>
      <c r="D682" s="1">
        <v>0</v>
      </c>
    </row>
    <row r="683" spans="1:4" x14ac:dyDescent="0.3">
      <c r="A683" s="1" t="s">
        <v>690</v>
      </c>
      <c r="B683" s="1">
        <v>350</v>
      </c>
      <c r="C683" s="1">
        <v>0</v>
      </c>
      <c r="D683" s="1">
        <v>0</v>
      </c>
    </row>
    <row r="684" spans="1:4" x14ac:dyDescent="0.3">
      <c r="A684" s="1" t="s">
        <v>691</v>
      </c>
      <c r="B684" s="1">
        <v>346</v>
      </c>
      <c r="C684" s="1">
        <v>0</v>
      </c>
      <c r="D684" s="1">
        <v>0</v>
      </c>
    </row>
    <row r="685" spans="1:4" x14ac:dyDescent="0.3">
      <c r="A685" s="1" t="s">
        <v>692</v>
      </c>
      <c r="B685" s="1">
        <v>346</v>
      </c>
      <c r="C685" s="1">
        <v>0</v>
      </c>
      <c r="D685" s="1">
        <v>0</v>
      </c>
    </row>
    <row r="686" spans="1:4" x14ac:dyDescent="0.3">
      <c r="A686" s="1" t="s">
        <v>693</v>
      </c>
      <c r="B686" s="1">
        <v>345</v>
      </c>
      <c r="C686" s="1">
        <v>0</v>
      </c>
      <c r="D686" s="1">
        <v>0</v>
      </c>
    </row>
    <row r="687" spans="1:4" x14ac:dyDescent="0.3">
      <c r="A687" s="1" t="s">
        <v>694</v>
      </c>
      <c r="B687" s="1">
        <v>343</v>
      </c>
      <c r="C687" s="1">
        <v>0</v>
      </c>
      <c r="D687" s="1">
        <v>0</v>
      </c>
    </row>
    <row r="688" spans="1:4" x14ac:dyDescent="0.3">
      <c r="A688" s="1" t="s">
        <v>695</v>
      </c>
      <c r="B688" s="1">
        <v>342</v>
      </c>
      <c r="C688" s="1">
        <v>0</v>
      </c>
      <c r="D688" s="1">
        <v>0</v>
      </c>
    </row>
    <row r="689" spans="1:4" x14ac:dyDescent="0.3">
      <c r="A689" s="1" t="s">
        <v>696</v>
      </c>
      <c r="B689" s="1">
        <v>335</v>
      </c>
      <c r="C689" s="1">
        <v>0</v>
      </c>
      <c r="D689" s="1">
        <v>0</v>
      </c>
    </row>
    <row r="690" spans="1:4" x14ac:dyDescent="0.3">
      <c r="A690" s="1" t="s">
        <v>697</v>
      </c>
      <c r="B690" s="1">
        <v>326</v>
      </c>
      <c r="C690" s="1">
        <v>0</v>
      </c>
      <c r="D690" s="1">
        <v>0</v>
      </c>
    </row>
    <row r="691" spans="1:4" x14ac:dyDescent="0.3">
      <c r="A691" s="1" t="s">
        <v>698</v>
      </c>
      <c r="B691" s="1">
        <v>325</v>
      </c>
      <c r="C691" s="1">
        <v>0</v>
      </c>
      <c r="D691" s="1">
        <v>0</v>
      </c>
    </row>
    <row r="692" spans="1:4" x14ac:dyDescent="0.3">
      <c r="A692" s="1" t="s">
        <v>699</v>
      </c>
      <c r="B692" s="1">
        <v>323</v>
      </c>
      <c r="C692" s="1">
        <v>0</v>
      </c>
      <c r="D692" s="1">
        <v>0</v>
      </c>
    </row>
    <row r="693" spans="1:4" x14ac:dyDescent="0.3">
      <c r="A693" s="1" t="s">
        <v>700</v>
      </c>
      <c r="B693" s="1">
        <v>318</v>
      </c>
      <c r="C693" s="1">
        <v>0</v>
      </c>
      <c r="D693" s="1">
        <v>0</v>
      </c>
    </row>
    <row r="694" spans="1:4" x14ac:dyDescent="0.3">
      <c r="A694" s="1" t="s">
        <v>701</v>
      </c>
      <c r="B694" s="1">
        <v>304</v>
      </c>
      <c r="C694" s="1">
        <v>0</v>
      </c>
      <c r="D694" s="1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5"/>
  <sheetViews>
    <sheetView zoomScaleNormal="100" workbookViewId="0"/>
  </sheetViews>
  <sheetFormatPr baseColWidth="10" defaultColWidth="10.5546875" defaultRowHeight="14.4" x14ac:dyDescent="0.3"/>
  <cols>
    <col min="1" max="1" width="10.44140625" style="1" customWidth="1"/>
    <col min="2" max="2" width="21" style="1" customWidth="1"/>
    <col min="3" max="3" width="14.109375" style="1" customWidth="1"/>
    <col min="4" max="4" width="15.109375" style="1" customWidth="1"/>
    <col min="5" max="5" width="17.44140625" style="1" customWidth="1"/>
  </cols>
  <sheetData>
    <row r="1" spans="1:6" x14ac:dyDescent="0.3">
      <c r="A1" s="1" t="s">
        <v>702</v>
      </c>
      <c r="B1" s="1" t="s">
        <v>6</v>
      </c>
      <c r="C1" s="1" t="s">
        <v>703</v>
      </c>
      <c r="D1" s="1" t="s">
        <v>7</v>
      </c>
      <c r="E1" s="1" t="s">
        <v>8</v>
      </c>
      <c r="F1" s="1" t="s">
        <v>704</v>
      </c>
    </row>
    <row r="2" spans="1:6" x14ac:dyDescent="0.3">
      <c r="A2" s="3">
        <v>44003</v>
      </c>
      <c r="B2" s="1">
        <v>2028</v>
      </c>
      <c r="C2" s="1">
        <v>133747.81</v>
      </c>
      <c r="D2" s="1">
        <v>10</v>
      </c>
      <c r="E2" s="1">
        <v>0.49</v>
      </c>
      <c r="F2">
        <v>7366.82</v>
      </c>
    </row>
    <row r="3" spans="1:6" x14ac:dyDescent="0.3">
      <c r="A3" s="3">
        <v>44004</v>
      </c>
      <c r="B3" s="1">
        <v>4078</v>
      </c>
      <c r="C3" s="1">
        <v>273118.13</v>
      </c>
      <c r="D3" s="1">
        <v>12</v>
      </c>
      <c r="E3" s="1">
        <v>0.28999999999999998</v>
      </c>
      <c r="F3">
        <v>5137.05</v>
      </c>
    </row>
    <row r="4" spans="1:6" x14ac:dyDescent="0.3">
      <c r="A4" s="3">
        <v>44005</v>
      </c>
      <c r="B4" s="1">
        <v>3899</v>
      </c>
      <c r="C4" s="1">
        <v>261246.19</v>
      </c>
      <c r="D4" s="1">
        <v>0</v>
      </c>
      <c r="E4" s="1">
        <v>0</v>
      </c>
      <c r="F4">
        <v>0</v>
      </c>
    </row>
    <row r="5" spans="1:6" x14ac:dyDescent="0.3">
      <c r="A5" s="3">
        <v>44006</v>
      </c>
      <c r="B5" s="1">
        <v>1846</v>
      </c>
      <c r="C5" s="1">
        <v>121247.77</v>
      </c>
      <c r="D5" s="1">
        <v>15</v>
      </c>
      <c r="E5" s="1">
        <v>0.81</v>
      </c>
      <c r="F5">
        <v>8102.58</v>
      </c>
    </row>
    <row r="6" spans="1:6" x14ac:dyDescent="0.3">
      <c r="A6" s="3">
        <v>44007</v>
      </c>
      <c r="B6" s="1">
        <v>2067</v>
      </c>
      <c r="C6" s="1">
        <v>147070.87</v>
      </c>
      <c r="D6" s="1">
        <v>5</v>
      </c>
      <c r="E6" s="1">
        <v>0.24</v>
      </c>
      <c r="F6">
        <v>2974.43</v>
      </c>
    </row>
    <row r="7" spans="1:6" x14ac:dyDescent="0.3">
      <c r="A7" s="3">
        <v>44008</v>
      </c>
      <c r="B7" s="1">
        <v>2357</v>
      </c>
      <c r="C7" s="1">
        <v>169726.83</v>
      </c>
      <c r="D7" s="1">
        <v>11</v>
      </c>
      <c r="E7" s="1">
        <v>0.47</v>
      </c>
      <c r="F7">
        <v>6783.7</v>
      </c>
    </row>
    <row r="8" spans="1:6" x14ac:dyDescent="0.3">
      <c r="A8" s="3">
        <v>44009</v>
      </c>
      <c r="B8" s="1">
        <v>2360</v>
      </c>
      <c r="C8" s="1">
        <v>173690.74</v>
      </c>
      <c r="D8" s="1">
        <v>12</v>
      </c>
      <c r="E8" s="1">
        <v>0.51</v>
      </c>
      <c r="F8">
        <v>6460.44</v>
      </c>
    </row>
    <row r="9" spans="1:6" x14ac:dyDescent="0.3">
      <c r="A9" s="3">
        <v>44010</v>
      </c>
      <c r="B9" s="1">
        <v>3422</v>
      </c>
      <c r="C9" s="1">
        <v>237137.95</v>
      </c>
      <c r="D9" s="1">
        <v>8</v>
      </c>
      <c r="E9" s="1">
        <v>0.23</v>
      </c>
      <c r="F9">
        <v>6203.96</v>
      </c>
    </row>
    <row r="10" spans="1:6" x14ac:dyDescent="0.3">
      <c r="A10" s="3">
        <v>44011</v>
      </c>
      <c r="B10" s="1">
        <v>4129</v>
      </c>
      <c r="C10" s="1">
        <v>291319.40000000002</v>
      </c>
      <c r="D10" s="1">
        <v>22</v>
      </c>
      <c r="E10" s="1">
        <v>0.53</v>
      </c>
      <c r="F10">
        <v>10930.43</v>
      </c>
    </row>
    <row r="11" spans="1:6" x14ac:dyDescent="0.3">
      <c r="A11" s="3">
        <v>44012</v>
      </c>
      <c r="B11" s="1">
        <v>3872</v>
      </c>
      <c r="C11" s="1">
        <v>271232.65999999997</v>
      </c>
      <c r="D11" s="1">
        <v>38</v>
      </c>
      <c r="E11" s="1">
        <v>0.98</v>
      </c>
      <c r="F11">
        <v>19315.52</v>
      </c>
    </row>
    <row r="12" spans="1:6" x14ac:dyDescent="0.3">
      <c r="A12" s="3">
        <v>44013</v>
      </c>
      <c r="B12" s="1">
        <v>1854</v>
      </c>
      <c r="C12" s="1">
        <v>120627.12</v>
      </c>
      <c r="D12" s="1">
        <v>3</v>
      </c>
      <c r="E12" s="1">
        <v>0.16</v>
      </c>
      <c r="F12">
        <v>1251.95</v>
      </c>
    </row>
    <row r="13" spans="1:6" x14ac:dyDescent="0.3">
      <c r="A13" s="3">
        <v>44014</v>
      </c>
      <c r="B13" s="1">
        <v>2032</v>
      </c>
      <c r="C13" s="1">
        <v>136973.76999999999</v>
      </c>
      <c r="D13" s="1">
        <v>2</v>
      </c>
      <c r="E13" s="1">
        <v>0.1</v>
      </c>
      <c r="F13">
        <v>141.36000000000001</v>
      </c>
    </row>
    <row r="14" spans="1:6" x14ac:dyDescent="0.3">
      <c r="A14" s="3">
        <v>44015</v>
      </c>
      <c r="B14" s="1">
        <v>2276</v>
      </c>
      <c r="C14" s="1">
        <v>184660.3</v>
      </c>
      <c r="D14" s="1">
        <v>14</v>
      </c>
      <c r="E14" s="1">
        <v>0.62</v>
      </c>
      <c r="F14">
        <v>6784.72</v>
      </c>
    </row>
    <row r="15" spans="1:6" x14ac:dyDescent="0.3">
      <c r="A15" s="3">
        <v>44016</v>
      </c>
      <c r="B15" s="1">
        <v>2338</v>
      </c>
      <c r="C15" s="1">
        <v>159208.59</v>
      </c>
      <c r="D15" s="1">
        <v>9</v>
      </c>
      <c r="E15" s="1">
        <v>0.38</v>
      </c>
      <c r="F15">
        <v>4469.92</v>
      </c>
    </row>
    <row r="16" spans="1:6" x14ac:dyDescent="0.3">
      <c r="A16" s="3">
        <v>44017</v>
      </c>
      <c r="B16" s="1">
        <v>3494</v>
      </c>
      <c r="C16" s="1">
        <v>230063.84</v>
      </c>
      <c r="D16" s="1">
        <v>14</v>
      </c>
      <c r="E16" s="1">
        <v>0.4</v>
      </c>
      <c r="F16">
        <v>2741.24</v>
      </c>
    </row>
    <row r="17" spans="1:6" x14ac:dyDescent="0.3">
      <c r="A17" s="3">
        <v>44018</v>
      </c>
      <c r="B17" s="1">
        <v>4144</v>
      </c>
      <c r="C17" s="1">
        <v>284430.27</v>
      </c>
      <c r="D17" s="1">
        <v>16</v>
      </c>
      <c r="E17" s="1">
        <v>0.39</v>
      </c>
      <c r="F17">
        <v>6544.92</v>
      </c>
    </row>
    <row r="18" spans="1:6" x14ac:dyDescent="0.3">
      <c r="A18" s="3">
        <v>44019</v>
      </c>
      <c r="B18" s="1">
        <v>3912</v>
      </c>
      <c r="C18" s="1">
        <v>276974.95</v>
      </c>
      <c r="D18" s="1">
        <v>8</v>
      </c>
      <c r="E18" s="1">
        <v>0.2</v>
      </c>
      <c r="F18">
        <v>4184.04</v>
      </c>
    </row>
    <row r="19" spans="1:6" x14ac:dyDescent="0.3">
      <c r="A19" s="3">
        <v>44020</v>
      </c>
      <c r="B19" s="1">
        <v>1768</v>
      </c>
      <c r="C19" s="1">
        <v>128013.07</v>
      </c>
      <c r="D19" s="1">
        <v>10</v>
      </c>
      <c r="E19" s="1">
        <v>0.56999999999999995</v>
      </c>
      <c r="F19">
        <v>5799.86</v>
      </c>
    </row>
    <row r="20" spans="1:6" x14ac:dyDescent="0.3">
      <c r="A20" s="3">
        <v>44021</v>
      </c>
      <c r="B20" s="1">
        <v>2170</v>
      </c>
      <c r="C20" s="1">
        <v>145842.10999999999</v>
      </c>
      <c r="D20" s="1">
        <v>6</v>
      </c>
      <c r="E20" s="1">
        <v>0.28000000000000003</v>
      </c>
      <c r="F20">
        <v>2560.9699999999998</v>
      </c>
    </row>
    <row r="21" spans="1:6" x14ac:dyDescent="0.3">
      <c r="A21" s="3">
        <v>44022</v>
      </c>
      <c r="B21" s="1">
        <v>2393</v>
      </c>
      <c r="C21" s="1">
        <v>163564.87</v>
      </c>
      <c r="D21" s="1">
        <v>9</v>
      </c>
      <c r="E21" s="1">
        <v>0.38</v>
      </c>
      <c r="F21">
        <v>3101.23</v>
      </c>
    </row>
    <row r="22" spans="1:6" x14ac:dyDescent="0.3">
      <c r="A22" s="3">
        <v>44023</v>
      </c>
      <c r="B22" s="1">
        <v>2339</v>
      </c>
      <c r="C22" s="1">
        <v>163507.76</v>
      </c>
      <c r="D22" s="1">
        <v>20</v>
      </c>
      <c r="E22" s="1">
        <v>0.86</v>
      </c>
      <c r="F22">
        <v>11976.53</v>
      </c>
    </row>
    <row r="23" spans="1:6" x14ac:dyDescent="0.3">
      <c r="A23" s="3">
        <v>44024</v>
      </c>
      <c r="B23" s="1">
        <v>3420</v>
      </c>
      <c r="C23" s="1">
        <v>235926.93</v>
      </c>
      <c r="D23" s="1">
        <v>21</v>
      </c>
      <c r="E23" s="1">
        <v>0.61</v>
      </c>
      <c r="F23">
        <v>14094.73</v>
      </c>
    </row>
    <row r="24" spans="1:6" x14ac:dyDescent="0.3">
      <c r="A24" s="3">
        <v>44025</v>
      </c>
      <c r="B24" s="1">
        <v>3954</v>
      </c>
      <c r="C24" s="1">
        <v>258369.85</v>
      </c>
      <c r="D24" s="1">
        <v>8</v>
      </c>
      <c r="E24" s="1">
        <v>0.2</v>
      </c>
      <c r="F24">
        <v>3145.76</v>
      </c>
    </row>
    <row r="25" spans="1:6" x14ac:dyDescent="0.3">
      <c r="A25" s="3">
        <v>44026</v>
      </c>
      <c r="B25" s="1">
        <v>3881</v>
      </c>
      <c r="C25" s="1">
        <v>258038.77</v>
      </c>
      <c r="D25" s="1">
        <v>5</v>
      </c>
      <c r="E25" s="1">
        <v>0.13</v>
      </c>
      <c r="F25">
        <v>1940.77</v>
      </c>
    </row>
    <row r="26" spans="1:6" x14ac:dyDescent="0.3">
      <c r="A26" s="3">
        <v>44027</v>
      </c>
      <c r="B26" s="1">
        <v>1856</v>
      </c>
      <c r="C26" s="1">
        <v>129892.96</v>
      </c>
      <c r="D26" s="1">
        <v>3</v>
      </c>
      <c r="E26" s="1">
        <v>0.16</v>
      </c>
      <c r="F26">
        <v>1896.85</v>
      </c>
    </row>
    <row r="27" spans="1:6" x14ac:dyDescent="0.3">
      <c r="A27" s="3">
        <v>44028</v>
      </c>
      <c r="B27" s="1">
        <v>2045</v>
      </c>
      <c r="C27" s="1">
        <v>136245.99</v>
      </c>
      <c r="D27" s="1">
        <v>0</v>
      </c>
      <c r="E27" s="1">
        <v>0</v>
      </c>
      <c r="F27">
        <v>0</v>
      </c>
    </row>
    <row r="28" spans="1:6" x14ac:dyDescent="0.3">
      <c r="A28" s="3">
        <v>44029</v>
      </c>
      <c r="B28" s="1">
        <v>2309</v>
      </c>
      <c r="C28" s="1">
        <v>163397.29999999999</v>
      </c>
      <c r="D28" s="1">
        <v>0</v>
      </c>
      <c r="E28" s="1">
        <v>0</v>
      </c>
      <c r="F28">
        <v>0</v>
      </c>
    </row>
    <row r="29" spans="1:6" x14ac:dyDescent="0.3">
      <c r="A29" s="3">
        <v>44030</v>
      </c>
      <c r="B29" s="1">
        <v>2302</v>
      </c>
      <c r="C29" s="1">
        <v>171279.66</v>
      </c>
      <c r="D29" s="1">
        <v>12</v>
      </c>
      <c r="E29" s="1">
        <v>0.52</v>
      </c>
      <c r="F29">
        <v>7608.77</v>
      </c>
    </row>
    <row r="30" spans="1:6" x14ac:dyDescent="0.3">
      <c r="A30" s="3">
        <v>44031</v>
      </c>
      <c r="B30" s="1">
        <v>3445</v>
      </c>
      <c r="C30" s="1">
        <v>264648.63</v>
      </c>
      <c r="D30" s="1">
        <v>32</v>
      </c>
      <c r="E30" s="1">
        <v>0.93</v>
      </c>
      <c r="F30">
        <v>16162.36</v>
      </c>
    </row>
    <row r="31" spans="1:6" x14ac:dyDescent="0.3">
      <c r="A31" s="3">
        <v>44032</v>
      </c>
      <c r="B31" s="1">
        <v>4067</v>
      </c>
      <c r="C31" s="1">
        <v>275963.01</v>
      </c>
      <c r="D31" s="1">
        <v>26</v>
      </c>
      <c r="E31" s="1">
        <v>0.64</v>
      </c>
      <c r="F31">
        <v>14385.36</v>
      </c>
    </row>
    <row r="32" spans="1:6" x14ac:dyDescent="0.3">
      <c r="A32" s="3">
        <v>44033</v>
      </c>
      <c r="B32" s="1">
        <v>3902</v>
      </c>
      <c r="C32" s="1">
        <v>272394.92</v>
      </c>
      <c r="D32" s="1">
        <v>17</v>
      </c>
      <c r="E32" s="1">
        <v>0.44</v>
      </c>
      <c r="F32">
        <v>6570.08</v>
      </c>
    </row>
    <row r="33" spans="1:6" x14ac:dyDescent="0.3">
      <c r="A33" s="3">
        <v>44034</v>
      </c>
      <c r="B33" s="1">
        <v>1796</v>
      </c>
      <c r="C33" s="1">
        <v>114282.7</v>
      </c>
      <c r="D33" s="1">
        <v>13</v>
      </c>
      <c r="E33" s="1">
        <v>0.72</v>
      </c>
      <c r="F33">
        <v>4864.0200000000004</v>
      </c>
    </row>
    <row r="34" spans="1:6" x14ac:dyDescent="0.3">
      <c r="A34" s="3">
        <v>44035</v>
      </c>
      <c r="B34" s="1">
        <v>2067</v>
      </c>
      <c r="C34" s="1">
        <v>153011.91</v>
      </c>
      <c r="D34" s="1">
        <v>10</v>
      </c>
      <c r="E34" s="1">
        <v>0.48</v>
      </c>
      <c r="F34">
        <v>4729.6499999999996</v>
      </c>
    </row>
    <row r="35" spans="1:6" x14ac:dyDescent="0.3">
      <c r="A35" s="3">
        <v>44036</v>
      </c>
      <c r="B35" s="1">
        <v>2402</v>
      </c>
      <c r="C35" s="1">
        <v>158465.16</v>
      </c>
      <c r="D35" s="1">
        <v>5</v>
      </c>
      <c r="E35" s="1">
        <v>0.21</v>
      </c>
      <c r="F35">
        <v>1771.44</v>
      </c>
    </row>
    <row r="36" spans="1:6" x14ac:dyDescent="0.3">
      <c r="A36" s="3">
        <v>44037</v>
      </c>
      <c r="B36" s="1">
        <v>2278</v>
      </c>
      <c r="C36" s="1">
        <v>151580.38</v>
      </c>
      <c r="D36" s="1">
        <v>4</v>
      </c>
      <c r="E36" s="1">
        <v>0.18</v>
      </c>
      <c r="F36">
        <v>2565.38</v>
      </c>
    </row>
    <row r="37" spans="1:6" x14ac:dyDescent="0.3">
      <c r="A37" s="3">
        <v>44038</v>
      </c>
      <c r="B37" s="1">
        <v>3406</v>
      </c>
      <c r="C37" s="1">
        <v>231742.77</v>
      </c>
      <c r="D37" s="1">
        <v>13</v>
      </c>
      <c r="E37" s="1">
        <v>0.38</v>
      </c>
      <c r="F37">
        <v>6416.68</v>
      </c>
    </row>
    <row r="38" spans="1:6" x14ac:dyDescent="0.3">
      <c r="A38" s="3">
        <v>44039</v>
      </c>
      <c r="B38" s="1">
        <v>3969</v>
      </c>
      <c r="C38" s="1">
        <v>263318.26</v>
      </c>
      <c r="D38" s="1">
        <v>7</v>
      </c>
      <c r="E38" s="1">
        <v>0.18</v>
      </c>
      <c r="F38">
        <v>4303.43</v>
      </c>
    </row>
    <row r="39" spans="1:6" x14ac:dyDescent="0.3">
      <c r="A39" s="3">
        <v>44040</v>
      </c>
      <c r="B39" s="1">
        <v>3871</v>
      </c>
      <c r="C39" s="1">
        <v>263966.77</v>
      </c>
      <c r="D39" s="1">
        <v>10</v>
      </c>
      <c r="E39" s="1">
        <v>0.26</v>
      </c>
      <c r="F39">
        <v>5291.76</v>
      </c>
    </row>
    <row r="40" spans="1:6" x14ac:dyDescent="0.3">
      <c r="A40" s="3">
        <v>44041</v>
      </c>
      <c r="B40" s="1">
        <v>1827</v>
      </c>
      <c r="C40" s="1">
        <v>126988.91</v>
      </c>
      <c r="D40" s="1">
        <v>0</v>
      </c>
      <c r="E40" s="1">
        <v>0</v>
      </c>
      <c r="F40">
        <v>0</v>
      </c>
    </row>
    <row r="41" spans="1:6" x14ac:dyDescent="0.3">
      <c r="A41" s="3">
        <v>44042</v>
      </c>
      <c r="B41" s="1">
        <v>2040</v>
      </c>
      <c r="C41" s="1">
        <v>145667.18</v>
      </c>
      <c r="D41" s="1">
        <v>12</v>
      </c>
      <c r="E41" s="1">
        <v>0.59</v>
      </c>
      <c r="F41">
        <v>6109.56</v>
      </c>
    </row>
    <row r="42" spans="1:6" x14ac:dyDescent="0.3">
      <c r="A42" s="3">
        <v>44043</v>
      </c>
      <c r="B42" s="1">
        <v>2291</v>
      </c>
      <c r="C42" s="1">
        <v>169164.03</v>
      </c>
      <c r="D42" s="1">
        <v>12</v>
      </c>
      <c r="E42" s="1">
        <v>0.52</v>
      </c>
      <c r="F42">
        <v>7256.15</v>
      </c>
    </row>
    <row r="43" spans="1:6" x14ac:dyDescent="0.3">
      <c r="A43" s="3">
        <v>44044</v>
      </c>
      <c r="B43" s="1">
        <v>2300</v>
      </c>
      <c r="C43" s="1">
        <v>163518.38</v>
      </c>
      <c r="D43" s="1">
        <v>5</v>
      </c>
      <c r="E43" s="1">
        <v>0.22</v>
      </c>
      <c r="F43">
        <v>3898.01</v>
      </c>
    </row>
    <row r="44" spans="1:6" x14ac:dyDescent="0.3">
      <c r="A44" s="3">
        <v>44045</v>
      </c>
      <c r="B44" s="1">
        <v>3456</v>
      </c>
      <c r="C44" s="1">
        <v>253727.93</v>
      </c>
      <c r="D44" s="1">
        <v>16</v>
      </c>
      <c r="E44" s="1">
        <v>0.46</v>
      </c>
      <c r="F44">
        <v>9278.56</v>
      </c>
    </row>
    <row r="45" spans="1:6" x14ac:dyDescent="0.3">
      <c r="A45" s="3">
        <v>44046</v>
      </c>
      <c r="B45" s="1">
        <v>4074</v>
      </c>
      <c r="C45" s="1">
        <v>268014.36</v>
      </c>
      <c r="D45" s="1">
        <v>28</v>
      </c>
      <c r="E45" s="1">
        <v>0.69</v>
      </c>
      <c r="F45">
        <v>12715.51</v>
      </c>
    </row>
    <row r="46" spans="1:6" x14ac:dyDescent="0.3">
      <c r="A46" s="3">
        <v>44047</v>
      </c>
      <c r="B46" s="1">
        <v>3852</v>
      </c>
      <c r="C46" s="1">
        <v>264371.98</v>
      </c>
      <c r="D46" s="1">
        <v>20</v>
      </c>
      <c r="E46" s="1">
        <v>0.52</v>
      </c>
      <c r="F46">
        <v>8237.3700000000008</v>
      </c>
    </row>
    <row r="47" spans="1:6" x14ac:dyDescent="0.3">
      <c r="A47" s="3">
        <v>44048</v>
      </c>
      <c r="B47" s="1">
        <v>1777</v>
      </c>
      <c r="C47" s="1">
        <v>137955.17000000001</v>
      </c>
      <c r="D47" s="1">
        <v>8</v>
      </c>
      <c r="E47" s="1">
        <v>0.45</v>
      </c>
      <c r="F47">
        <v>4626</v>
      </c>
    </row>
    <row r="48" spans="1:6" x14ac:dyDescent="0.3">
      <c r="A48" s="3">
        <v>44049</v>
      </c>
      <c r="B48" s="1">
        <v>2119</v>
      </c>
      <c r="C48" s="1">
        <v>150617.25</v>
      </c>
      <c r="D48" s="1">
        <v>17</v>
      </c>
      <c r="E48" s="1">
        <v>0.8</v>
      </c>
      <c r="F48">
        <v>9361.06</v>
      </c>
    </row>
    <row r="49" spans="1:6" x14ac:dyDescent="0.3">
      <c r="A49" s="3">
        <v>44050</v>
      </c>
      <c r="B49" s="1">
        <v>2330</v>
      </c>
      <c r="C49" s="1">
        <v>167457.41</v>
      </c>
      <c r="D49" s="1">
        <v>38</v>
      </c>
      <c r="E49" s="1">
        <v>1.63</v>
      </c>
      <c r="F49">
        <v>12497.97</v>
      </c>
    </row>
    <row r="50" spans="1:6" x14ac:dyDescent="0.3">
      <c r="A50" s="3">
        <v>44051</v>
      </c>
      <c r="B50" s="1">
        <v>2379</v>
      </c>
      <c r="C50" s="1">
        <v>170087.17</v>
      </c>
      <c r="D50" s="1">
        <v>27</v>
      </c>
      <c r="E50" s="1">
        <v>1.1299999999999999</v>
      </c>
      <c r="F50">
        <v>10921.42</v>
      </c>
    </row>
    <row r="51" spans="1:6" x14ac:dyDescent="0.3">
      <c r="A51" s="3">
        <v>44052</v>
      </c>
      <c r="B51" s="1">
        <v>3488</v>
      </c>
      <c r="C51" s="1">
        <v>252514.12</v>
      </c>
      <c r="D51" s="1">
        <v>10</v>
      </c>
      <c r="E51" s="1">
        <v>0.28999999999999998</v>
      </c>
      <c r="F51">
        <v>3287.07</v>
      </c>
    </row>
    <row r="52" spans="1:6" x14ac:dyDescent="0.3">
      <c r="A52" s="3">
        <v>44053</v>
      </c>
      <c r="B52" s="1">
        <v>3981</v>
      </c>
      <c r="C52" s="1">
        <v>275952.37</v>
      </c>
      <c r="D52" s="1">
        <v>9</v>
      </c>
      <c r="E52" s="1">
        <v>0.23</v>
      </c>
      <c r="F52">
        <v>3074.46</v>
      </c>
    </row>
    <row r="53" spans="1:6" x14ac:dyDescent="0.3">
      <c r="A53" s="3">
        <v>44054</v>
      </c>
      <c r="B53" s="1">
        <v>3828</v>
      </c>
      <c r="C53" s="1">
        <v>267125.73</v>
      </c>
      <c r="D53" s="1">
        <v>22</v>
      </c>
      <c r="E53" s="1">
        <v>0.56999999999999995</v>
      </c>
      <c r="F53">
        <v>16748.330000000002</v>
      </c>
    </row>
    <row r="54" spans="1:6" x14ac:dyDescent="0.3">
      <c r="A54" s="3">
        <v>44055</v>
      </c>
      <c r="B54" s="1">
        <v>1877</v>
      </c>
      <c r="C54" s="1">
        <v>139317.20000000001</v>
      </c>
      <c r="D54" s="1">
        <v>17</v>
      </c>
      <c r="E54" s="1">
        <v>0.91</v>
      </c>
      <c r="F54">
        <v>9566.49</v>
      </c>
    </row>
    <row r="55" spans="1:6" x14ac:dyDescent="0.3">
      <c r="A55" s="3">
        <v>44056</v>
      </c>
      <c r="B55" s="1">
        <v>2083</v>
      </c>
      <c r="C55" s="1">
        <v>142677.92000000001</v>
      </c>
      <c r="D55" s="1">
        <v>17</v>
      </c>
      <c r="E55" s="1">
        <v>0.82</v>
      </c>
      <c r="F55">
        <v>8457.5499999999993</v>
      </c>
    </row>
    <row r="56" spans="1:6" x14ac:dyDescent="0.3">
      <c r="A56" s="3">
        <v>44057</v>
      </c>
      <c r="B56" s="1">
        <v>2252</v>
      </c>
      <c r="C56" s="1">
        <v>149934.1</v>
      </c>
      <c r="D56" s="1">
        <v>5</v>
      </c>
      <c r="E56" s="1">
        <v>0.22</v>
      </c>
      <c r="F56">
        <v>2102.23</v>
      </c>
    </row>
    <row r="57" spans="1:6" x14ac:dyDescent="0.3">
      <c r="A57" s="3">
        <v>44058</v>
      </c>
      <c r="B57" s="1">
        <v>2191</v>
      </c>
      <c r="C57" s="1">
        <v>146999.54999999999</v>
      </c>
      <c r="D57" s="1">
        <v>3</v>
      </c>
      <c r="E57" s="1">
        <v>0.14000000000000001</v>
      </c>
      <c r="F57">
        <v>1345.78</v>
      </c>
    </row>
    <row r="58" spans="1:6" x14ac:dyDescent="0.3">
      <c r="A58" s="3">
        <v>44059</v>
      </c>
      <c r="B58" s="1">
        <v>3311</v>
      </c>
      <c r="C58" s="1">
        <v>224854.38</v>
      </c>
      <c r="D58" s="1">
        <v>5</v>
      </c>
      <c r="E58" s="1">
        <v>0.15</v>
      </c>
      <c r="F58">
        <v>2658.55</v>
      </c>
    </row>
    <row r="59" spans="1:6" x14ac:dyDescent="0.3">
      <c r="A59" s="3">
        <v>44060</v>
      </c>
      <c r="B59" s="1">
        <v>3935</v>
      </c>
      <c r="C59" s="1">
        <v>256209.02</v>
      </c>
      <c r="D59" s="1">
        <v>5</v>
      </c>
      <c r="E59" s="1">
        <v>0.13</v>
      </c>
      <c r="F59">
        <v>2049.04</v>
      </c>
    </row>
    <row r="60" spans="1:6" x14ac:dyDescent="0.3">
      <c r="A60" s="3">
        <v>44061</v>
      </c>
      <c r="B60" s="1">
        <v>3824</v>
      </c>
      <c r="C60" s="1">
        <v>263270.86</v>
      </c>
      <c r="D60" s="1">
        <v>11</v>
      </c>
      <c r="E60" s="1">
        <v>0.28999999999999998</v>
      </c>
      <c r="F60">
        <v>4783.68</v>
      </c>
    </row>
    <row r="61" spans="1:6" x14ac:dyDescent="0.3">
      <c r="A61" s="3">
        <v>44062</v>
      </c>
      <c r="B61" s="1">
        <v>1908</v>
      </c>
      <c r="C61" s="1">
        <v>125619.94</v>
      </c>
      <c r="D61" s="1">
        <v>2</v>
      </c>
      <c r="E61" s="1">
        <v>0.1</v>
      </c>
      <c r="F61">
        <v>1815.11</v>
      </c>
    </row>
    <row r="62" spans="1:6" x14ac:dyDescent="0.3">
      <c r="A62" s="3">
        <v>44063</v>
      </c>
      <c r="B62" s="1">
        <v>2181</v>
      </c>
      <c r="C62" s="1">
        <v>161508.23000000001</v>
      </c>
      <c r="D62" s="1">
        <v>18</v>
      </c>
      <c r="E62" s="1">
        <v>0.83</v>
      </c>
      <c r="F62">
        <v>8810.18</v>
      </c>
    </row>
    <row r="63" spans="1:6" x14ac:dyDescent="0.3">
      <c r="A63" s="3">
        <v>44064</v>
      </c>
      <c r="B63" s="1">
        <v>2342</v>
      </c>
      <c r="C63" s="1">
        <v>155186.21</v>
      </c>
      <c r="D63" s="1">
        <v>12</v>
      </c>
      <c r="E63" s="1">
        <v>0.51</v>
      </c>
      <c r="F63">
        <v>5508.94</v>
      </c>
    </row>
    <row r="64" spans="1:6" x14ac:dyDescent="0.3">
      <c r="A64" s="3">
        <v>44065</v>
      </c>
      <c r="B64" s="1">
        <v>2276</v>
      </c>
      <c r="C64" s="1">
        <v>150618.13</v>
      </c>
      <c r="D64" s="1">
        <v>8</v>
      </c>
      <c r="E64" s="1">
        <v>0.35</v>
      </c>
      <c r="F64">
        <v>3649.04</v>
      </c>
    </row>
    <row r="65" spans="1:6" x14ac:dyDescent="0.3">
      <c r="A65" s="3">
        <v>44066</v>
      </c>
      <c r="B65" s="1">
        <v>3315</v>
      </c>
      <c r="C65" s="1">
        <v>238736.88</v>
      </c>
      <c r="D65" s="1">
        <v>13</v>
      </c>
      <c r="E65" s="1">
        <v>0.39</v>
      </c>
      <c r="F65">
        <v>10411.549999999999</v>
      </c>
    </row>
    <row r="66" spans="1:6" x14ac:dyDescent="0.3">
      <c r="A66" s="3">
        <v>44067</v>
      </c>
      <c r="B66" s="1">
        <v>4035</v>
      </c>
      <c r="C66" s="1">
        <v>262070.8</v>
      </c>
      <c r="D66" s="1">
        <v>17</v>
      </c>
      <c r="E66" s="1">
        <v>0.42</v>
      </c>
      <c r="F66">
        <v>7521.3</v>
      </c>
    </row>
    <row r="67" spans="1:6" x14ac:dyDescent="0.3">
      <c r="A67" s="3">
        <v>44068</v>
      </c>
      <c r="B67" s="1">
        <v>3746</v>
      </c>
      <c r="C67" s="1">
        <v>258906.83</v>
      </c>
      <c r="D67" s="1">
        <v>27</v>
      </c>
      <c r="E67" s="1">
        <v>0.72</v>
      </c>
      <c r="F67">
        <v>14012.17</v>
      </c>
    </row>
    <row r="68" spans="1:6" x14ac:dyDescent="0.3">
      <c r="A68" s="3">
        <v>44069</v>
      </c>
      <c r="B68" s="1">
        <v>1839</v>
      </c>
      <c r="C68" s="1">
        <v>119276.53</v>
      </c>
      <c r="D68" s="1">
        <v>15</v>
      </c>
      <c r="E68" s="1">
        <v>0.82</v>
      </c>
      <c r="F68">
        <v>9725.32</v>
      </c>
    </row>
    <row r="69" spans="1:6" x14ac:dyDescent="0.3">
      <c r="A69" s="3">
        <v>44070</v>
      </c>
      <c r="B69" s="1">
        <v>2051</v>
      </c>
      <c r="C69" s="1">
        <v>154356.62</v>
      </c>
      <c r="D69" s="1">
        <v>20</v>
      </c>
      <c r="E69" s="1">
        <v>0.98</v>
      </c>
      <c r="F69">
        <v>9615</v>
      </c>
    </row>
    <row r="70" spans="1:6" x14ac:dyDescent="0.3">
      <c r="A70" s="3">
        <v>44071</v>
      </c>
      <c r="B70" s="1">
        <v>2296</v>
      </c>
      <c r="C70" s="1">
        <v>156965.98000000001</v>
      </c>
      <c r="D70" s="1">
        <v>10</v>
      </c>
      <c r="E70" s="1">
        <v>0.44</v>
      </c>
      <c r="F70">
        <v>6059.43</v>
      </c>
    </row>
    <row r="71" spans="1:6" x14ac:dyDescent="0.3">
      <c r="A71" s="3">
        <v>44072</v>
      </c>
      <c r="B71" s="1">
        <v>2304</v>
      </c>
      <c r="C71" s="1">
        <v>162033.47</v>
      </c>
      <c r="D71" s="1">
        <v>0</v>
      </c>
      <c r="E71" s="1">
        <v>0</v>
      </c>
      <c r="F71">
        <v>0</v>
      </c>
    </row>
    <row r="72" spans="1:6" x14ac:dyDescent="0.3">
      <c r="A72" s="3">
        <v>44073</v>
      </c>
      <c r="B72" s="1">
        <v>3328</v>
      </c>
      <c r="C72" s="1">
        <v>218851.06</v>
      </c>
      <c r="D72" s="1">
        <v>6</v>
      </c>
      <c r="E72" s="1">
        <v>0.18</v>
      </c>
      <c r="F72">
        <v>3726.54</v>
      </c>
    </row>
    <row r="73" spans="1:6" x14ac:dyDescent="0.3">
      <c r="A73" s="3">
        <v>44074</v>
      </c>
      <c r="B73" s="1">
        <v>4081</v>
      </c>
      <c r="C73" s="1">
        <v>274742.59000000003</v>
      </c>
      <c r="D73" s="1">
        <v>4</v>
      </c>
      <c r="E73" s="1">
        <v>0.1</v>
      </c>
      <c r="F73">
        <v>2321.77</v>
      </c>
    </row>
    <row r="74" spans="1:6" x14ac:dyDescent="0.3">
      <c r="A74" s="3">
        <v>44075</v>
      </c>
      <c r="B74" s="1">
        <v>3841</v>
      </c>
      <c r="C74" s="1">
        <v>268332.2</v>
      </c>
      <c r="D74" s="1">
        <v>13</v>
      </c>
      <c r="E74" s="1">
        <v>0.34</v>
      </c>
      <c r="F74">
        <v>10124.81</v>
      </c>
    </row>
    <row r="75" spans="1:6" x14ac:dyDescent="0.3">
      <c r="A75" s="3">
        <v>44076</v>
      </c>
      <c r="B75" s="1">
        <v>1496</v>
      </c>
      <c r="C75" s="1">
        <v>106438.17</v>
      </c>
      <c r="D75" s="1">
        <v>9</v>
      </c>
      <c r="E75" s="1">
        <v>0.6</v>
      </c>
      <c r="F75">
        <v>5525.64</v>
      </c>
    </row>
    <row r="76" spans="1:6" x14ac:dyDescent="0.3">
      <c r="A76" s="3">
        <v>44077</v>
      </c>
      <c r="B76" s="1">
        <v>1768</v>
      </c>
      <c r="C76" s="1">
        <v>124211.89</v>
      </c>
      <c r="D76" s="1">
        <v>6</v>
      </c>
      <c r="E76" s="1">
        <v>0.34</v>
      </c>
      <c r="F76">
        <v>4656.6400000000003</v>
      </c>
    </row>
    <row r="77" spans="1:6" x14ac:dyDescent="0.3">
      <c r="A77" s="3">
        <v>44078</v>
      </c>
      <c r="B77" s="1">
        <v>1909</v>
      </c>
      <c r="C77" s="1">
        <v>140975.24</v>
      </c>
      <c r="D77" s="1">
        <v>19</v>
      </c>
      <c r="E77" s="1">
        <v>1</v>
      </c>
      <c r="F77">
        <v>10877.26</v>
      </c>
    </row>
    <row r="78" spans="1:6" x14ac:dyDescent="0.3">
      <c r="A78" s="3">
        <v>44079</v>
      </c>
      <c r="B78" s="1">
        <v>1896</v>
      </c>
      <c r="C78" s="1">
        <v>137383.38</v>
      </c>
      <c r="D78" s="1">
        <v>23</v>
      </c>
      <c r="E78" s="1">
        <v>1.21</v>
      </c>
      <c r="F78">
        <v>12396.77</v>
      </c>
    </row>
    <row r="79" spans="1:6" x14ac:dyDescent="0.3">
      <c r="A79" s="3">
        <v>44080</v>
      </c>
      <c r="B79" s="1">
        <v>2690</v>
      </c>
      <c r="C79" s="1">
        <v>190399.09</v>
      </c>
      <c r="D79" s="1">
        <v>12</v>
      </c>
      <c r="E79" s="1">
        <v>0.45</v>
      </c>
      <c r="F79">
        <v>5146.8900000000003</v>
      </c>
    </row>
    <row r="80" spans="1:6" x14ac:dyDescent="0.3">
      <c r="A80" s="3">
        <v>44081</v>
      </c>
      <c r="B80" s="1">
        <v>3259</v>
      </c>
      <c r="C80" s="1">
        <v>240616.26</v>
      </c>
      <c r="D80" s="1">
        <v>14</v>
      </c>
      <c r="E80" s="1">
        <v>0.43</v>
      </c>
      <c r="F80">
        <v>9085.31</v>
      </c>
    </row>
    <row r="81" spans="1:6" x14ac:dyDescent="0.3">
      <c r="A81" s="3">
        <v>44082</v>
      </c>
      <c r="B81" s="1">
        <v>3056</v>
      </c>
      <c r="C81" s="1">
        <v>215641.15</v>
      </c>
      <c r="D81" s="1">
        <v>18</v>
      </c>
      <c r="E81" s="1">
        <v>0.59</v>
      </c>
      <c r="F81">
        <v>9029.4500000000007</v>
      </c>
    </row>
    <row r="82" spans="1:6" x14ac:dyDescent="0.3">
      <c r="A82" s="3">
        <v>44083</v>
      </c>
      <c r="B82" s="1">
        <v>1479</v>
      </c>
      <c r="C82" s="1">
        <v>105847.18</v>
      </c>
      <c r="D82" s="1">
        <v>8</v>
      </c>
      <c r="E82" s="1">
        <v>0.54</v>
      </c>
      <c r="F82">
        <v>6450.25</v>
      </c>
    </row>
    <row r="83" spans="1:6" x14ac:dyDescent="0.3">
      <c r="A83" s="3">
        <v>44084</v>
      </c>
      <c r="B83" s="1">
        <v>1800</v>
      </c>
      <c r="C83" s="1">
        <v>132473.04999999999</v>
      </c>
      <c r="D83" s="1">
        <v>9</v>
      </c>
      <c r="E83" s="1">
        <v>0.5</v>
      </c>
      <c r="F83">
        <v>7481.79</v>
      </c>
    </row>
    <row r="84" spans="1:6" x14ac:dyDescent="0.3">
      <c r="A84" s="3">
        <v>44085</v>
      </c>
      <c r="B84" s="1">
        <v>1966</v>
      </c>
      <c r="C84" s="1">
        <v>141384.71</v>
      </c>
      <c r="D84" s="1">
        <v>7</v>
      </c>
      <c r="E84" s="1">
        <v>0.36</v>
      </c>
      <c r="F84">
        <v>3118.01</v>
      </c>
    </row>
    <row r="85" spans="1:6" x14ac:dyDescent="0.3">
      <c r="A85" s="3">
        <v>44086</v>
      </c>
      <c r="B85" s="1">
        <v>1895</v>
      </c>
      <c r="C85" s="1">
        <v>120011.25</v>
      </c>
      <c r="D85" s="1">
        <v>3</v>
      </c>
      <c r="E85" s="1">
        <v>0.16</v>
      </c>
      <c r="F85">
        <v>2328.79</v>
      </c>
    </row>
    <row r="86" spans="1:6" x14ac:dyDescent="0.3">
      <c r="A86" s="3">
        <v>44087</v>
      </c>
      <c r="B86" s="1">
        <v>2813</v>
      </c>
      <c r="C86" s="1">
        <v>189427.04</v>
      </c>
      <c r="D86" s="1">
        <v>13</v>
      </c>
      <c r="E86" s="1">
        <v>0.46</v>
      </c>
      <c r="F86">
        <v>7792.86</v>
      </c>
    </row>
    <row r="87" spans="1:6" x14ac:dyDescent="0.3">
      <c r="A87" s="3">
        <v>44088</v>
      </c>
      <c r="B87" s="1">
        <v>3222</v>
      </c>
      <c r="C87" s="1">
        <v>214537.95</v>
      </c>
      <c r="D87" s="1">
        <v>10</v>
      </c>
      <c r="E87" s="1">
        <v>0.31</v>
      </c>
      <c r="F87">
        <v>6345.27</v>
      </c>
    </row>
    <row r="88" spans="1:6" x14ac:dyDescent="0.3">
      <c r="A88" s="3">
        <v>44089</v>
      </c>
      <c r="B88" s="1">
        <v>3128</v>
      </c>
      <c r="C88" s="1">
        <v>224871.06</v>
      </c>
      <c r="D88" s="1">
        <v>6</v>
      </c>
      <c r="E88" s="1">
        <v>0.19</v>
      </c>
      <c r="F88">
        <v>5006.45</v>
      </c>
    </row>
    <row r="89" spans="1:6" x14ac:dyDescent="0.3">
      <c r="A89" s="3">
        <v>44090</v>
      </c>
      <c r="B89" s="1">
        <v>1465</v>
      </c>
      <c r="C89" s="1">
        <v>98042.83</v>
      </c>
      <c r="D89" s="1">
        <v>12</v>
      </c>
      <c r="E89" s="1">
        <v>0.82</v>
      </c>
      <c r="F89">
        <v>7471.96</v>
      </c>
    </row>
    <row r="90" spans="1:6" x14ac:dyDescent="0.3">
      <c r="A90" s="3">
        <v>44091</v>
      </c>
      <c r="B90" s="1">
        <v>1672</v>
      </c>
      <c r="C90" s="1">
        <v>122269.67</v>
      </c>
      <c r="D90" s="1">
        <v>16</v>
      </c>
      <c r="E90" s="1">
        <v>0.96</v>
      </c>
      <c r="F90">
        <v>10385.66</v>
      </c>
    </row>
    <row r="91" spans="1:6" x14ac:dyDescent="0.3">
      <c r="A91" s="3">
        <v>44092</v>
      </c>
      <c r="B91" s="1">
        <v>1891</v>
      </c>
      <c r="C91" s="1">
        <v>130274.93</v>
      </c>
      <c r="D91" s="1">
        <v>7</v>
      </c>
      <c r="E91" s="1">
        <v>0.37</v>
      </c>
      <c r="F91">
        <v>5341.01</v>
      </c>
    </row>
    <row r="92" spans="1:6" x14ac:dyDescent="0.3">
      <c r="A92" s="3">
        <v>44093</v>
      </c>
      <c r="B92" s="1">
        <v>1933</v>
      </c>
      <c r="C92" s="1">
        <v>131957.81</v>
      </c>
      <c r="D92" s="1">
        <v>0</v>
      </c>
      <c r="E92" s="1">
        <v>0</v>
      </c>
      <c r="F92">
        <v>0</v>
      </c>
    </row>
    <row r="93" spans="1:6" x14ac:dyDescent="0.3">
      <c r="A93" s="3">
        <v>44094</v>
      </c>
      <c r="B93" s="1">
        <v>2697</v>
      </c>
      <c r="C93" s="1">
        <v>181663.53</v>
      </c>
      <c r="D93" s="1">
        <v>2</v>
      </c>
      <c r="E93" s="1">
        <v>7.0000000000000007E-2</v>
      </c>
      <c r="F93">
        <v>899.36</v>
      </c>
    </row>
    <row r="94" spans="1:6" x14ac:dyDescent="0.3">
      <c r="A94" s="3">
        <v>44095</v>
      </c>
      <c r="B94" s="1">
        <v>3151</v>
      </c>
      <c r="C94" s="1">
        <v>229859.46</v>
      </c>
      <c r="D94" s="1">
        <v>5</v>
      </c>
      <c r="E94" s="1">
        <v>0.16</v>
      </c>
      <c r="F94">
        <v>2444.77</v>
      </c>
    </row>
    <row r="95" spans="1:6" x14ac:dyDescent="0.3">
      <c r="A95" s="3">
        <v>44096</v>
      </c>
      <c r="B95" s="1">
        <v>3059</v>
      </c>
      <c r="C95" s="1">
        <v>209784.57</v>
      </c>
      <c r="D95" s="1">
        <v>11</v>
      </c>
      <c r="E95" s="1">
        <v>0.36</v>
      </c>
      <c r="F95">
        <v>7244.3</v>
      </c>
    </row>
    <row r="96" spans="1:6" x14ac:dyDescent="0.3">
      <c r="A96" s="3">
        <v>44097</v>
      </c>
      <c r="B96" s="1">
        <v>1494</v>
      </c>
      <c r="C96" s="1">
        <v>107852.36</v>
      </c>
      <c r="D96" s="1">
        <v>20</v>
      </c>
      <c r="E96" s="1">
        <v>1.34</v>
      </c>
      <c r="F96">
        <v>9657.36</v>
      </c>
    </row>
    <row r="97" spans="1:6" x14ac:dyDescent="0.3">
      <c r="A97" s="3">
        <v>44098</v>
      </c>
      <c r="B97" s="1">
        <v>1685</v>
      </c>
      <c r="C97" s="1">
        <v>127153.47</v>
      </c>
      <c r="D97" s="1">
        <v>25</v>
      </c>
      <c r="E97" s="1">
        <v>1.48</v>
      </c>
      <c r="F97">
        <v>13736.24</v>
      </c>
    </row>
    <row r="98" spans="1:6" x14ac:dyDescent="0.3">
      <c r="A98" s="3">
        <v>44099</v>
      </c>
      <c r="B98" s="1">
        <v>1877</v>
      </c>
      <c r="C98" s="1">
        <v>135243.26</v>
      </c>
      <c r="D98" s="1">
        <v>16</v>
      </c>
      <c r="E98" s="1">
        <v>0.85</v>
      </c>
      <c r="F98">
        <v>6252.23</v>
      </c>
    </row>
    <row r="99" spans="1:6" x14ac:dyDescent="0.3">
      <c r="A99" s="3">
        <v>44100</v>
      </c>
      <c r="B99" s="1">
        <v>1898</v>
      </c>
      <c r="C99" s="1">
        <v>131984.9</v>
      </c>
      <c r="D99" s="1">
        <v>6</v>
      </c>
      <c r="E99" s="1">
        <v>0.32</v>
      </c>
      <c r="F99">
        <v>2298.1</v>
      </c>
    </row>
    <row r="100" spans="1:6" x14ac:dyDescent="0.3">
      <c r="A100" s="3">
        <v>44101</v>
      </c>
      <c r="B100" s="1">
        <v>2758</v>
      </c>
      <c r="C100" s="1">
        <v>210223.67</v>
      </c>
      <c r="D100" s="1">
        <v>20</v>
      </c>
      <c r="E100" s="1">
        <v>0.73</v>
      </c>
      <c r="F100">
        <v>11527.9</v>
      </c>
    </row>
    <row r="101" spans="1:6" x14ac:dyDescent="0.3">
      <c r="A101" s="3">
        <v>44102</v>
      </c>
      <c r="B101" s="1">
        <v>3196</v>
      </c>
      <c r="C101" s="1">
        <v>215534.06</v>
      </c>
      <c r="D101" s="1">
        <v>14</v>
      </c>
      <c r="E101" s="1">
        <v>0.44</v>
      </c>
      <c r="F101">
        <v>9497.4699999999993</v>
      </c>
    </row>
    <row r="102" spans="1:6" x14ac:dyDescent="0.3">
      <c r="A102" s="3">
        <v>44103</v>
      </c>
      <c r="B102" s="1">
        <v>3031</v>
      </c>
      <c r="C102" s="1">
        <v>218834.94</v>
      </c>
      <c r="D102" s="1">
        <v>8</v>
      </c>
      <c r="E102" s="1">
        <v>0.26</v>
      </c>
      <c r="F102">
        <v>5134.9399999999996</v>
      </c>
    </row>
    <row r="103" spans="1:6" x14ac:dyDescent="0.3">
      <c r="A103" s="3">
        <v>44104</v>
      </c>
      <c r="B103" s="1">
        <v>1508</v>
      </c>
      <c r="C103" s="1">
        <v>107771</v>
      </c>
      <c r="D103" s="1">
        <v>8</v>
      </c>
      <c r="E103" s="1">
        <v>0.53</v>
      </c>
      <c r="F103">
        <v>5443.5</v>
      </c>
    </row>
    <row r="104" spans="1:6" x14ac:dyDescent="0.3">
      <c r="A104" s="3">
        <v>44105</v>
      </c>
      <c r="B104" s="1">
        <v>1687</v>
      </c>
      <c r="C104" s="1">
        <v>120243.23</v>
      </c>
      <c r="D104" s="1">
        <v>5</v>
      </c>
      <c r="E104" s="1">
        <v>0.3</v>
      </c>
      <c r="F104">
        <v>3060.01</v>
      </c>
    </row>
    <row r="105" spans="1:6" x14ac:dyDescent="0.3">
      <c r="A105" s="3">
        <v>44106</v>
      </c>
      <c r="B105" s="1">
        <v>1912</v>
      </c>
      <c r="C105" s="1">
        <v>128260.33</v>
      </c>
      <c r="D105" s="1">
        <v>5</v>
      </c>
      <c r="E105" s="1">
        <v>0.26</v>
      </c>
      <c r="F105">
        <v>2837.92</v>
      </c>
    </row>
    <row r="106" spans="1:6" x14ac:dyDescent="0.3">
      <c r="A106" s="3">
        <v>44107</v>
      </c>
      <c r="B106" s="1">
        <v>1896</v>
      </c>
      <c r="C106" s="1">
        <v>131278.64000000001</v>
      </c>
      <c r="D106" s="1">
        <v>16</v>
      </c>
      <c r="E106" s="1">
        <v>0.84</v>
      </c>
      <c r="F106">
        <v>8269.7900000000009</v>
      </c>
    </row>
    <row r="107" spans="1:6" x14ac:dyDescent="0.3">
      <c r="A107" s="3">
        <v>44108</v>
      </c>
      <c r="B107" s="1">
        <v>2788</v>
      </c>
      <c r="C107" s="1">
        <v>197393.26</v>
      </c>
      <c r="D107" s="1">
        <v>40</v>
      </c>
      <c r="E107" s="1">
        <v>1.43</v>
      </c>
      <c r="F107">
        <v>20660.099999999999</v>
      </c>
    </row>
    <row r="108" spans="1:6" x14ac:dyDescent="0.3">
      <c r="A108" s="3">
        <v>44109</v>
      </c>
      <c r="B108" s="1">
        <v>3177</v>
      </c>
      <c r="C108" s="1">
        <v>210601.29</v>
      </c>
      <c r="D108" s="1">
        <v>31</v>
      </c>
      <c r="E108" s="1">
        <v>0.98</v>
      </c>
      <c r="F108">
        <v>15055.99</v>
      </c>
    </row>
    <row r="109" spans="1:6" x14ac:dyDescent="0.3">
      <c r="A109" s="3">
        <v>44110</v>
      </c>
      <c r="B109" s="1">
        <v>3060</v>
      </c>
      <c r="C109" s="1">
        <v>207369</v>
      </c>
      <c r="D109" s="1">
        <v>16</v>
      </c>
      <c r="E109" s="1">
        <v>0.52</v>
      </c>
      <c r="F109">
        <v>9124.65</v>
      </c>
    </row>
    <row r="110" spans="1:6" x14ac:dyDescent="0.3">
      <c r="A110" s="3">
        <v>44111</v>
      </c>
      <c r="B110" s="1">
        <v>1517</v>
      </c>
      <c r="C110" s="1">
        <v>114928.08</v>
      </c>
      <c r="D110" s="1">
        <v>14</v>
      </c>
      <c r="E110" s="1">
        <v>0.92</v>
      </c>
      <c r="F110">
        <v>8400.9500000000007</v>
      </c>
    </row>
    <row r="111" spans="1:6" x14ac:dyDescent="0.3">
      <c r="A111" s="3">
        <v>44112</v>
      </c>
      <c r="B111" s="1">
        <v>1610</v>
      </c>
      <c r="C111" s="1">
        <v>118524.03</v>
      </c>
      <c r="D111" s="1">
        <v>14</v>
      </c>
      <c r="E111" s="1">
        <v>0.87</v>
      </c>
      <c r="F111">
        <v>5733.31</v>
      </c>
    </row>
    <row r="112" spans="1:6" x14ac:dyDescent="0.3">
      <c r="A112" s="3">
        <v>44113</v>
      </c>
      <c r="B112" s="1">
        <v>1905</v>
      </c>
      <c r="C112" s="1">
        <v>125144.53</v>
      </c>
      <c r="D112" s="1">
        <v>4</v>
      </c>
      <c r="E112" s="1">
        <v>0.21</v>
      </c>
      <c r="F112">
        <v>2620.86</v>
      </c>
    </row>
    <row r="113" spans="1:6" x14ac:dyDescent="0.3">
      <c r="A113" s="3">
        <v>44114</v>
      </c>
      <c r="B113" s="1">
        <v>1926</v>
      </c>
      <c r="C113" s="1">
        <v>141291.54999999999</v>
      </c>
      <c r="D113" s="1">
        <v>7</v>
      </c>
      <c r="E113" s="1">
        <v>0.36</v>
      </c>
      <c r="F113">
        <v>3033.67</v>
      </c>
    </row>
    <row r="114" spans="1:6" x14ac:dyDescent="0.3">
      <c r="A114" s="3">
        <v>44115</v>
      </c>
      <c r="B114" s="1">
        <v>2733</v>
      </c>
      <c r="C114" s="1">
        <v>184638.13</v>
      </c>
      <c r="D114" s="1">
        <v>14</v>
      </c>
      <c r="E114" s="1">
        <v>0.51</v>
      </c>
      <c r="F114">
        <v>5318.93</v>
      </c>
    </row>
    <row r="115" spans="1:6" x14ac:dyDescent="0.3">
      <c r="A115" s="3">
        <v>44116</v>
      </c>
      <c r="B115" s="1">
        <v>3201</v>
      </c>
      <c r="C115" s="1">
        <v>229960.24</v>
      </c>
      <c r="D115" s="1">
        <v>10</v>
      </c>
      <c r="E115" s="1">
        <v>0.31</v>
      </c>
      <c r="F115">
        <v>3576.74</v>
      </c>
    </row>
    <row r="116" spans="1:6" x14ac:dyDescent="0.3">
      <c r="A116" s="3">
        <v>44117</v>
      </c>
      <c r="B116" s="1">
        <v>3019</v>
      </c>
      <c r="C116" s="1">
        <v>209394.13</v>
      </c>
      <c r="D116" s="1">
        <v>6</v>
      </c>
      <c r="E116" s="1">
        <v>0.2</v>
      </c>
      <c r="F116">
        <v>2439.21</v>
      </c>
    </row>
    <row r="117" spans="1:6" x14ac:dyDescent="0.3">
      <c r="A117" s="3">
        <v>44118</v>
      </c>
      <c r="B117" s="1">
        <v>1560</v>
      </c>
      <c r="C117" s="1">
        <v>116498.76</v>
      </c>
      <c r="D117" s="1">
        <v>17</v>
      </c>
      <c r="E117" s="1">
        <v>1.0900000000000001</v>
      </c>
      <c r="F117">
        <v>6304.44</v>
      </c>
    </row>
    <row r="118" spans="1:6" x14ac:dyDescent="0.3">
      <c r="A118" s="3">
        <v>44119</v>
      </c>
      <c r="B118" s="1">
        <v>1694</v>
      </c>
      <c r="C118" s="1">
        <v>123639.03</v>
      </c>
      <c r="D118" s="1">
        <v>27</v>
      </c>
      <c r="E118" s="1">
        <v>1.59</v>
      </c>
      <c r="F118">
        <v>13401.68</v>
      </c>
    </row>
    <row r="119" spans="1:6" x14ac:dyDescent="0.3">
      <c r="A119" s="3">
        <v>44120</v>
      </c>
      <c r="B119" s="1">
        <v>1913</v>
      </c>
      <c r="C119" s="1">
        <v>139234.10999999999</v>
      </c>
      <c r="D119" s="1">
        <v>20</v>
      </c>
      <c r="E119" s="1">
        <v>1.05</v>
      </c>
      <c r="F119">
        <v>8407.89</v>
      </c>
    </row>
    <row r="120" spans="1:6" x14ac:dyDescent="0.3">
      <c r="A120" s="3">
        <v>44121</v>
      </c>
      <c r="B120" s="1">
        <v>1876</v>
      </c>
      <c r="C120" s="1">
        <v>131175.35999999999</v>
      </c>
      <c r="D120" s="1">
        <v>17</v>
      </c>
      <c r="E120" s="1">
        <v>0.91</v>
      </c>
      <c r="F120">
        <v>7883.57</v>
      </c>
    </row>
    <row r="121" spans="1:6" x14ac:dyDescent="0.3">
      <c r="A121" s="3">
        <v>44122</v>
      </c>
      <c r="B121" s="1">
        <v>2709</v>
      </c>
      <c r="C121" s="1">
        <v>185678.77</v>
      </c>
      <c r="D121" s="1">
        <v>19</v>
      </c>
      <c r="E121" s="1">
        <v>0.7</v>
      </c>
      <c r="F121">
        <v>11732.4</v>
      </c>
    </row>
    <row r="122" spans="1:6" x14ac:dyDescent="0.3">
      <c r="A122" s="3">
        <v>44123</v>
      </c>
      <c r="B122" s="1">
        <v>3200</v>
      </c>
      <c r="C122" s="1">
        <v>232959.11</v>
      </c>
      <c r="D122" s="1">
        <v>3</v>
      </c>
      <c r="E122" s="1">
        <v>0.09</v>
      </c>
      <c r="F122">
        <v>1620.67</v>
      </c>
    </row>
    <row r="123" spans="1:6" x14ac:dyDescent="0.3">
      <c r="A123" s="3">
        <v>44124</v>
      </c>
      <c r="B123" s="1">
        <v>3066</v>
      </c>
      <c r="C123" s="1">
        <v>202420.6</v>
      </c>
      <c r="D123" s="1">
        <v>0</v>
      </c>
      <c r="E123" s="1">
        <v>0</v>
      </c>
      <c r="F123">
        <v>0</v>
      </c>
    </row>
    <row r="124" spans="1:6" x14ac:dyDescent="0.3">
      <c r="A124" s="3">
        <v>44125</v>
      </c>
      <c r="B124" s="1">
        <v>1520</v>
      </c>
      <c r="C124" s="1">
        <v>102547.03</v>
      </c>
      <c r="D124" s="1">
        <v>0</v>
      </c>
      <c r="E124" s="1">
        <v>0</v>
      </c>
      <c r="F124">
        <v>0</v>
      </c>
    </row>
    <row r="125" spans="1:6" x14ac:dyDescent="0.3">
      <c r="A125" s="3">
        <v>44126</v>
      </c>
      <c r="B125" s="1">
        <v>1636</v>
      </c>
      <c r="C125" s="1">
        <v>106670.86</v>
      </c>
      <c r="D125" s="1">
        <v>4</v>
      </c>
      <c r="E125" s="1">
        <v>0.24</v>
      </c>
      <c r="F125">
        <v>1596.62</v>
      </c>
    </row>
    <row r="126" spans="1:6" x14ac:dyDescent="0.3">
      <c r="A126" s="3">
        <v>44127</v>
      </c>
      <c r="B126" s="1">
        <v>1949</v>
      </c>
      <c r="C126" s="1">
        <v>135107.76</v>
      </c>
      <c r="D126" s="1">
        <v>5</v>
      </c>
      <c r="E126" s="1">
        <v>0.26</v>
      </c>
      <c r="F126">
        <v>2674.55</v>
      </c>
    </row>
    <row r="127" spans="1:6" x14ac:dyDescent="0.3">
      <c r="A127" s="3">
        <v>44128</v>
      </c>
      <c r="B127" s="1">
        <v>1789</v>
      </c>
      <c r="C127" s="1">
        <v>140067.32</v>
      </c>
      <c r="D127" s="1">
        <v>15</v>
      </c>
      <c r="E127" s="1">
        <v>0.84</v>
      </c>
      <c r="F127">
        <v>11664.07</v>
      </c>
    </row>
    <row r="128" spans="1:6" x14ac:dyDescent="0.3">
      <c r="A128" s="3">
        <v>44129</v>
      </c>
      <c r="B128" s="1">
        <v>2728</v>
      </c>
      <c r="C128" s="1">
        <v>198792.57</v>
      </c>
      <c r="D128" s="1">
        <v>38</v>
      </c>
      <c r="E128" s="1">
        <v>1.39</v>
      </c>
      <c r="F128">
        <v>21724.5</v>
      </c>
    </row>
    <row r="129" spans="1:6" x14ac:dyDescent="0.3">
      <c r="A129" s="3">
        <v>44130</v>
      </c>
      <c r="B129" s="1">
        <v>3226</v>
      </c>
      <c r="C129" s="1">
        <v>225089.24</v>
      </c>
      <c r="D129" s="1">
        <v>4</v>
      </c>
      <c r="E129" s="1">
        <v>0.12</v>
      </c>
      <c r="F129">
        <v>3219.95</v>
      </c>
    </row>
    <row r="130" spans="1:6" x14ac:dyDescent="0.3">
      <c r="A130" s="3">
        <v>44131</v>
      </c>
      <c r="B130" s="1">
        <v>3117</v>
      </c>
      <c r="C130" s="1">
        <v>216442.2</v>
      </c>
      <c r="D130" s="1">
        <v>10</v>
      </c>
      <c r="E130" s="1">
        <v>0.32</v>
      </c>
      <c r="F130">
        <v>7050.04</v>
      </c>
    </row>
    <row r="131" spans="1:6" x14ac:dyDescent="0.3">
      <c r="A131" s="3">
        <v>44132</v>
      </c>
      <c r="B131" s="1">
        <v>1538</v>
      </c>
      <c r="C131" s="1">
        <v>96087.62</v>
      </c>
      <c r="D131" s="1">
        <v>5</v>
      </c>
      <c r="E131" s="1">
        <v>0.33</v>
      </c>
      <c r="F131">
        <v>1300.55</v>
      </c>
    </row>
    <row r="132" spans="1:6" x14ac:dyDescent="0.3">
      <c r="A132" s="3">
        <v>44133</v>
      </c>
      <c r="B132" s="1">
        <v>1633</v>
      </c>
      <c r="C132" s="1">
        <v>115429.92</v>
      </c>
      <c r="D132" s="1">
        <v>4</v>
      </c>
      <c r="E132" s="1">
        <v>0.24</v>
      </c>
      <c r="F132">
        <v>1503.37</v>
      </c>
    </row>
    <row r="133" spans="1:6" x14ac:dyDescent="0.3">
      <c r="A133" s="3">
        <v>44134</v>
      </c>
      <c r="B133" s="1">
        <v>1902</v>
      </c>
      <c r="C133" s="1">
        <v>145623</v>
      </c>
      <c r="D133" s="1">
        <v>1</v>
      </c>
      <c r="E133" s="1">
        <v>0.05</v>
      </c>
      <c r="F133">
        <v>304.47000000000003</v>
      </c>
    </row>
    <row r="134" spans="1:6" x14ac:dyDescent="0.3">
      <c r="A134" s="3">
        <v>44135</v>
      </c>
      <c r="B134" s="1">
        <v>1861</v>
      </c>
      <c r="C134" s="1">
        <v>136463.29</v>
      </c>
      <c r="D134" s="1">
        <v>13</v>
      </c>
      <c r="E134" s="1">
        <v>0.7</v>
      </c>
      <c r="F134">
        <v>5052.07</v>
      </c>
    </row>
    <row r="135" spans="1:6" x14ac:dyDescent="0.3">
      <c r="A135" s="3">
        <v>44136</v>
      </c>
      <c r="B135" s="1">
        <v>2716</v>
      </c>
      <c r="C135" s="1">
        <v>192046.04</v>
      </c>
      <c r="D135" s="1">
        <v>16</v>
      </c>
      <c r="E135" s="1">
        <v>0.59</v>
      </c>
      <c r="F135">
        <v>7125.83</v>
      </c>
    </row>
    <row r="136" spans="1:6" x14ac:dyDescent="0.3">
      <c r="A136" s="3">
        <v>44137</v>
      </c>
      <c r="B136" s="1">
        <v>3127</v>
      </c>
      <c r="C136" s="1">
        <v>208945.93</v>
      </c>
      <c r="D136" s="1">
        <v>4</v>
      </c>
      <c r="E136" s="1">
        <v>0.13</v>
      </c>
      <c r="F136">
        <v>2376.2199999999998</v>
      </c>
    </row>
    <row r="137" spans="1:6" x14ac:dyDescent="0.3">
      <c r="A137" s="3">
        <v>44138</v>
      </c>
      <c r="B137" s="1">
        <v>3151</v>
      </c>
      <c r="C137" s="1">
        <v>215889.54</v>
      </c>
      <c r="D137" s="1">
        <v>8</v>
      </c>
      <c r="E137" s="1">
        <v>0.25</v>
      </c>
      <c r="F137">
        <v>4941.12</v>
      </c>
    </row>
    <row r="138" spans="1:6" x14ac:dyDescent="0.3">
      <c r="A138" s="3">
        <v>44139</v>
      </c>
      <c r="B138" s="1">
        <v>1495</v>
      </c>
      <c r="C138" s="1">
        <v>107214.73</v>
      </c>
      <c r="D138" s="1">
        <v>16</v>
      </c>
      <c r="E138" s="1">
        <v>1.07</v>
      </c>
      <c r="F138">
        <v>6067.27</v>
      </c>
    </row>
    <row r="139" spans="1:6" x14ac:dyDescent="0.3">
      <c r="A139" s="3">
        <v>44140</v>
      </c>
      <c r="B139" s="1">
        <v>1640</v>
      </c>
      <c r="C139" s="1">
        <v>115744.79</v>
      </c>
      <c r="D139" s="1">
        <v>19</v>
      </c>
      <c r="E139" s="1">
        <v>1.1599999999999999</v>
      </c>
      <c r="F139">
        <v>8289.07</v>
      </c>
    </row>
    <row r="140" spans="1:6" x14ac:dyDescent="0.3">
      <c r="A140" s="3">
        <v>44141</v>
      </c>
      <c r="B140" s="1">
        <v>1823</v>
      </c>
      <c r="C140" s="1">
        <v>127929.06</v>
      </c>
      <c r="D140" s="1">
        <v>8</v>
      </c>
      <c r="E140" s="1">
        <v>0.44</v>
      </c>
      <c r="F140">
        <v>4938.8599999999997</v>
      </c>
    </row>
    <row r="141" spans="1:6" x14ac:dyDescent="0.3">
      <c r="A141" s="3">
        <v>44142</v>
      </c>
      <c r="B141" s="1">
        <v>1902</v>
      </c>
      <c r="C141" s="1">
        <v>132237.4</v>
      </c>
      <c r="D141" s="1">
        <v>5</v>
      </c>
      <c r="E141" s="1">
        <v>0.26</v>
      </c>
      <c r="F141">
        <v>1272.02</v>
      </c>
    </row>
    <row r="142" spans="1:6" x14ac:dyDescent="0.3">
      <c r="A142" s="3">
        <v>44143</v>
      </c>
      <c r="B142" s="1">
        <v>2729</v>
      </c>
      <c r="C142" s="1">
        <v>190596.97</v>
      </c>
      <c r="D142" s="1">
        <v>12</v>
      </c>
      <c r="E142" s="1">
        <v>0.44</v>
      </c>
      <c r="F142">
        <v>7277.63</v>
      </c>
    </row>
    <row r="143" spans="1:6" x14ac:dyDescent="0.3">
      <c r="A143" s="3">
        <v>44144</v>
      </c>
      <c r="B143" s="1">
        <v>3371</v>
      </c>
      <c r="C143" s="1">
        <v>226778.6</v>
      </c>
      <c r="D143" s="1">
        <v>7</v>
      </c>
      <c r="E143" s="1">
        <v>0.21</v>
      </c>
      <c r="F143">
        <v>3617.84</v>
      </c>
    </row>
    <row r="144" spans="1:6" x14ac:dyDescent="0.3">
      <c r="A144" s="3">
        <v>44145</v>
      </c>
      <c r="B144" s="1">
        <v>3166</v>
      </c>
      <c r="C144" s="1">
        <v>219672.35</v>
      </c>
      <c r="D144" s="1">
        <v>13</v>
      </c>
      <c r="E144" s="1">
        <v>0.41</v>
      </c>
      <c r="F144">
        <v>5885.72</v>
      </c>
    </row>
    <row r="145" spans="1:6" x14ac:dyDescent="0.3">
      <c r="A145" s="3">
        <v>44146</v>
      </c>
      <c r="B145" s="1">
        <v>1536</v>
      </c>
      <c r="C145" s="1">
        <v>97450.89</v>
      </c>
      <c r="D145" s="1">
        <v>3</v>
      </c>
      <c r="E145" s="1">
        <v>0.2</v>
      </c>
      <c r="F145">
        <v>2170.91</v>
      </c>
    </row>
    <row r="146" spans="1:6" x14ac:dyDescent="0.3">
      <c r="A146" s="3">
        <v>44147</v>
      </c>
      <c r="B146" s="1">
        <v>1623</v>
      </c>
      <c r="C146" s="1">
        <v>109027.62</v>
      </c>
      <c r="D146" s="1">
        <v>8</v>
      </c>
      <c r="E146" s="1">
        <v>0.49</v>
      </c>
      <c r="F146">
        <v>4238.5600000000004</v>
      </c>
    </row>
    <row r="147" spans="1:6" x14ac:dyDescent="0.3">
      <c r="A147" s="3">
        <v>44148</v>
      </c>
      <c r="B147" s="1">
        <v>1877</v>
      </c>
      <c r="C147" s="1">
        <v>126476.08</v>
      </c>
      <c r="D147" s="1">
        <v>13</v>
      </c>
      <c r="E147" s="1">
        <v>0.69</v>
      </c>
      <c r="F147">
        <v>7304.83</v>
      </c>
    </row>
    <row r="148" spans="1:6" x14ac:dyDescent="0.3">
      <c r="A148" s="3">
        <v>44149</v>
      </c>
      <c r="B148" s="1">
        <v>1817</v>
      </c>
      <c r="C148" s="1">
        <v>128139.23</v>
      </c>
      <c r="D148" s="1">
        <v>6</v>
      </c>
      <c r="E148" s="1">
        <v>0.33</v>
      </c>
      <c r="F148">
        <v>1343.43</v>
      </c>
    </row>
    <row r="149" spans="1:6" x14ac:dyDescent="0.3">
      <c r="A149" s="3">
        <v>44150</v>
      </c>
      <c r="B149" s="1">
        <v>2712</v>
      </c>
      <c r="C149" s="1">
        <v>176292.98</v>
      </c>
      <c r="D149" s="1">
        <v>6</v>
      </c>
      <c r="E149" s="1">
        <v>0.22</v>
      </c>
      <c r="F149">
        <v>2287.73</v>
      </c>
    </row>
    <row r="150" spans="1:6" x14ac:dyDescent="0.3">
      <c r="A150" s="3">
        <v>44151</v>
      </c>
      <c r="B150" s="1">
        <v>3200</v>
      </c>
      <c r="C150" s="1">
        <v>228465.23</v>
      </c>
      <c r="D150" s="1">
        <v>6</v>
      </c>
      <c r="E150" s="1">
        <v>0.19</v>
      </c>
      <c r="F150">
        <v>1898.8</v>
      </c>
    </row>
    <row r="151" spans="1:6" x14ac:dyDescent="0.3">
      <c r="A151" s="3">
        <v>44152</v>
      </c>
      <c r="B151" s="1">
        <v>3097</v>
      </c>
      <c r="C151" s="1">
        <v>192836.69</v>
      </c>
      <c r="D151" s="1">
        <v>0</v>
      </c>
      <c r="E151" s="1">
        <v>0</v>
      </c>
      <c r="F151">
        <v>0</v>
      </c>
    </row>
    <row r="152" spans="1:6" x14ac:dyDescent="0.3">
      <c r="A152" s="3">
        <v>44153</v>
      </c>
      <c r="B152" s="1">
        <v>1460</v>
      </c>
      <c r="C152" s="1">
        <v>104700.2</v>
      </c>
      <c r="D152" s="1">
        <v>9</v>
      </c>
      <c r="E152" s="1">
        <v>0.62</v>
      </c>
      <c r="F152">
        <v>7396.75</v>
      </c>
    </row>
    <row r="153" spans="1:6" x14ac:dyDescent="0.3">
      <c r="A153" s="3">
        <v>44154</v>
      </c>
      <c r="B153" s="1">
        <v>1685</v>
      </c>
      <c r="C153" s="1">
        <v>116180.79</v>
      </c>
      <c r="D153" s="1">
        <v>15</v>
      </c>
      <c r="E153" s="1">
        <v>0.89</v>
      </c>
      <c r="F153">
        <v>6367.7</v>
      </c>
    </row>
    <row r="154" spans="1:6" x14ac:dyDescent="0.3">
      <c r="A154" s="3">
        <v>44155</v>
      </c>
      <c r="B154" s="1">
        <v>1843</v>
      </c>
      <c r="C154" s="1">
        <v>138370.03</v>
      </c>
      <c r="D154" s="1">
        <v>21</v>
      </c>
      <c r="E154" s="1">
        <v>1.1399999999999999</v>
      </c>
      <c r="F154">
        <v>12772.01</v>
      </c>
    </row>
    <row r="155" spans="1:6" x14ac:dyDescent="0.3">
      <c r="A155" s="3">
        <v>44156</v>
      </c>
      <c r="B155" s="1">
        <v>1818</v>
      </c>
      <c r="C155" s="1">
        <v>126301.02</v>
      </c>
      <c r="D155" s="1">
        <v>7</v>
      </c>
      <c r="E155" s="1">
        <v>0.39</v>
      </c>
      <c r="F155">
        <v>3400.34</v>
      </c>
    </row>
    <row r="156" spans="1:6" x14ac:dyDescent="0.3">
      <c r="A156" s="3">
        <v>44157</v>
      </c>
      <c r="B156" s="1">
        <v>2651</v>
      </c>
      <c r="C156" s="1">
        <v>184870.82</v>
      </c>
      <c r="D156" s="1">
        <v>3</v>
      </c>
      <c r="E156" s="1">
        <v>0.11</v>
      </c>
      <c r="F156">
        <v>1935.6</v>
      </c>
    </row>
    <row r="157" spans="1:6" x14ac:dyDescent="0.3">
      <c r="A157" s="3">
        <v>44158</v>
      </c>
      <c r="B157" s="1">
        <v>3212</v>
      </c>
      <c r="C157" s="1">
        <v>227969.81</v>
      </c>
      <c r="D157" s="1">
        <v>8</v>
      </c>
      <c r="E157" s="1">
        <v>0.25</v>
      </c>
      <c r="F157">
        <v>5063.1000000000004</v>
      </c>
    </row>
    <row r="158" spans="1:6" x14ac:dyDescent="0.3">
      <c r="A158" s="3">
        <v>44159</v>
      </c>
      <c r="B158" s="1">
        <v>2989</v>
      </c>
      <c r="C158" s="1">
        <v>220440.88</v>
      </c>
      <c r="D158" s="1">
        <v>4</v>
      </c>
      <c r="E158" s="1">
        <v>0.13</v>
      </c>
      <c r="F158">
        <v>2475.89</v>
      </c>
    </row>
    <row r="159" spans="1:6" x14ac:dyDescent="0.3">
      <c r="A159" s="3">
        <v>44160</v>
      </c>
      <c r="B159" s="1">
        <v>1488</v>
      </c>
      <c r="C159" s="1">
        <v>114463.32</v>
      </c>
      <c r="D159" s="1">
        <v>17</v>
      </c>
      <c r="E159" s="1">
        <v>1.1399999999999999</v>
      </c>
      <c r="F159">
        <v>8682.15</v>
      </c>
    </row>
    <row r="160" spans="1:6" x14ac:dyDescent="0.3">
      <c r="A160" s="3">
        <v>44161</v>
      </c>
      <c r="B160" s="1">
        <v>1661</v>
      </c>
      <c r="C160" s="1">
        <v>128329.3</v>
      </c>
      <c r="D160" s="1">
        <v>29</v>
      </c>
      <c r="E160" s="1">
        <v>1.75</v>
      </c>
      <c r="F160">
        <v>18735.189999999999</v>
      </c>
    </row>
    <row r="161" spans="1:6" x14ac:dyDescent="0.3">
      <c r="A161" s="3">
        <v>44162</v>
      </c>
      <c r="B161" s="1">
        <v>1834</v>
      </c>
      <c r="C161" s="1">
        <v>157088.42000000001</v>
      </c>
      <c r="D161" s="1">
        <v>23</v>
      </c>
      <c r="E161" s="1">
        <v>1.25</v>
      </c>
      <c r="F161">
        <v>11950.67</v>
      </c>
    </row>
    <row r="162" spans="1:6" x14ac:dyDescent="0.3">
      <c r="A162" s="3">
        <v>44163</v>
      </c>
      <c r="B162" s="1">
        <v>1796</v>
      </c>
      <c r="C162" s="1">
        <v>119694.68</v>
      </c>
      <c r="D162" s="1">
        <v>8</v>
      </c>
      <c r="E162" s="1">
        <v>0.45</v>
      </c>
      <c r="F162">
        <v>3366.95</v>
      </c>
    </row>
    <row r="163" spans="1:6" x14ac:dyDescent="0.3">
      <c r="A163" s="3">
        <v>44164</v>
      </c>
      <c r="B163" s="1">
        <v>2686</v>
      </c>
      <c r="C163" s="1">
        <v>169977.34</v>
      </c>
      <c r="D163" s="1">
        <v>0</v>
      </c>
      <c r="E163" s="1">
        <v>0</v>
      </c>
      <c r="F163">
        <v>0</v>
      </c>
    </row>
    <row r="164" spans="1:6" x14ac:dyDescent="0.3">
      <c r="A164" s="3">
        <v>44165</v>
      </c>
      <c r="B164" s="1">
        <v>6530</v>
      </c>
      <c r="C164" s="1">
        <v>424456.99</v>
      </c>
      <c r="D164" s="1">
        <v>0</v>
      </c>
      <c r="E164" s="1">
        <v>0</v>
      </c>
      <c r="F164">
        <v>0</v>
      </c>
    </row>
    <row r="165" spans="1:6" x14ac:dyDescent="0.3">
      <c r="A165" s="3">
        <v>44166</v>
      </c>
      <c r="B165" s="1">
        <v>6204</v>
      </c>
      <c r="C165" s="1">
        <v>421709.5</v>
      </c>
      <c r="D165" s="1">
        <v>11</v>
      </c>
      <c r="E165" s="1">
        <v>0.18</v>
      </c>
      <c r="F165">
        <v>5715.88</v>
      </c>
    </row>
    <row r="166" spans="1:6" x14ac:dyDescent="0.3">
      <c r="A166" s="3">
        <v>44167</v>
      </c>
      <c r="B166" s="1">
        <v>2991</v>
      </c>
      <c r="C166" s="1">
        <v>199264.59</v>
      </c>
      <c r="D166" s="1">
        <v>16</v>
      </c>
      <c r="E166" s="1">
        <v>0.53</v>
      </c>
      <c r="F166">
        <v>12420</v>
      </c>
    </row>
    <row r="167" spans="1:6" x14ac:dyDescent="0.3">
      <c r="A167" s="3">
        <v>44168</v>
      </c>
      <c r="B167" s="1">
        <v>3264</v>
      </c>
      <c r="C167" s="1">
        <v>216371.66</v>
      </c>
      <c r="D167" s="1">
        <v>4</v>
      </c>
      <c r="E167" s="1">
        <v>0.12</v>
      </c>
      <c r="F167">
        <v>2294.36</v>
      </c>
    </row>
    <row r="168" spans="1:6" x14ac:dyDescent="0.3">
      <c r="A168" s="3">
        <v>44169</v>
      </c>
      <c r="B168" s="1">
        <v>3685</v>
      </c>
      <c r="C168" s="1">
        <v>247934.76</v>
      </c>
      <c r="D168" s="1">
        <v>8</v>
      </c>
      <c r="E168" s="1">
        <v>0.22</v>
      </c>
      <c r="F168">
        <v>3176.62</v>
      </c>
    </row>
    <row r="169" spans="1:6" x14ac:dyDescent="0.3">
      <c r="A169" s="3">
        <v>44170</v>
      </c>
      <c r="B169" s="1">
        <v>3785</v>
      </c>
      <c r="C169" s="1">
        <v>250418.23</v>
      </c>
      <c r="D169" s="1">
        <v>14</v>
      </c>
      <c r="E169" s="1">
        <v>0.37</v>
      </c>
      <c r="F169">
        <v>7301.32</v>
      </c>
    </row>
    <row r="170" spans="1:6" x14ac:dyDescent="0.3">
      <c r="A170" s="3">
        <v>44171</v>
      </c>
      <c r="B170" s="1">
        <v>5397</v>
      </c>
      <c r="C170" s="1">
        <v>400919.52</v>
      </c>
      <c r="D170" s="1">
        <v>18</v>
      </c>
      <c r="E170" s="1">
        <v>0.33</v>
      </c>
      <c r="F170">
        <v>10790.5</v>
      </c>
    </row>
    <row r="171" spans="1:6" x14ac:dyDescent="0.3">
      <c r="A171" s="3">
        <v>44172</v>
      </c>
      <c r="B171" s="1">
        <v>6506</v>
      </c>
      <c r="C171" s="1">
        <v>451228.81</v>
      </c>
      <c r="D171" s="1">
        <v>11</v>
      </c>
      <c r="E171" s="1">
        <v>0.17</v>
      </c>
      <c r="F171">
        <v>5495.44</v>
      </c>
    </row>
    <row r="172" spans="1:6" x14ac:dyDescent="0.3">
      <c r="A172" s="3">
        <v>44173</v>
      </c>
      <c r="B172" s="1">
        <v>6164</v>
      </c>
      <c r="C172" s="1">
        <v>424498.29</v>
      </c>
      <c r="D172" s="1">
        <v>29</v>
      </c>
      <c r="E172" s="1">
        <v>0.47</v>
      </c>
      <c r="F172">
        <v>16278</v>
      </c>
    </row>
    <row r="173" spans="1:6" x14ac:dyDescent="0.3">
      <c r="A173" s="3">
        <v>44174</v>
      </c>
      <c r="B173" s="1">
        <v>2974</v>
      </c>
      <c r="C173" s="1">
        <v>195380.39</v>
      </c>
      <c r="D173" s="1">
        <v>14</v>
      </c>
      <c r="E173" s="1">
        <v>0.47</v>
      </c>
      <c r="F173">
        <v>8854.0400000000009</v>
      </c>
    </row>
    <row r="174" spans="1:6" x14ac:dyDescent="0.3">
      <c r="A174" s="3">
        <v>44175</v>
      </c>
      <c r="B174" s="1">
        <v>3451</v>
      </c>
      <c r="C174" s="1">
        <v>237353.05</v>
      </c>
      <c r="D174" s="1">
        <v>4</v>
      </c>
      <c r="E174" s="1">
        <v>0.12</v>
      </c>
      <c r="F174">
        <v>289.72000000000003</v>
      </c>
    </row>
    <row r="175" spans="1:6" x14ac:dyDescent="0.3">
      <c r="A175" s="3">
        <v>44176</v>
      </c>
      <c r="B175" s="1">
        <v>3793</v>
      </c>
      <c r="C175" s="1">
        <v>253503.93</v>
      </c>
      <c r="D175" s="1">
        <v>21</v>
      </c>
      <c r="E175" s="1">
        <v>0.55000000000000004</v>
      </c>
      <c r="F175">
        <v>9208.59</v>
      </c>
    </row>
    <row r="176" spans="1:6" x14ac:dyDescent="0.3">
      <c r="A176" s="3">
        <v>44177</v>
      </c>
      <c r="B176" s="1">
        <v>3641</v>
      </c>
      <c r="C176" s="1">
        <v>252035.64</v>
      </c>
      <c r="D176" s="1">
        <v>19</v>
      </c>
      <c r="E176" s="1">
        <v>0.52</v>
      </c>
      <c r="F176">
        <v>7038.34</v>
      </c>
    </row>
    <row r="177" spans="1:6" x14ac:dyDescent="0.3">
      <c r="A177" s="3">
        <v>44178</v>
      </c>
      <c r="B177" s="1">
        <v>5400</v>
      </c>
      <c r="C177" s="1">
        <v>369623.14</v>
      </c>
      <c r="D177" s="1">
        <v>9</v>
      </c>
      <c r="E177" s="1">
        <v>0.17</v>
      </c>
      <c r="F177">
        <v>4719.37</v>
      </c>
    </row>
    <row r="178" spans="1:6" x14ac:dyDescent="0.3">
      <c r="A178" s="3">
        <v>44179</v>
      </c>
      <c r="B178" s="1">
        <v>6400</v>
      </c>
      <c r="C178" s="1">
        <v>449640.22</v>
      </c>
      <c r="D178" s="1">
        <v>11</v>
      </c>
      <c r="E178" s="1">
        <v>0.17</v>
      </c>
      <c r="F178">
        <v>5524.19</v>
      </c>
    </row>
    <row r="179" spans="1:6" x14ac:dyDescent="0.3">
      <c r="A179" s="3">
        <v>44180</v>
      </c>
      <c r="B179" s="1">
        <v>6050</v>
      </c>
      <c r="C179" s="1">
        <v>436418.32</v>
      </c>
      <c r="D179" s="1">
        <v>13</v>
      </c>
      <c r="E179" s="1">
        <v>0.21</v>
      </c>
      <c r="F179">
        <v>7803.88</v>
      </c>
    </row>
    <row r="180" spans="1:6" x14ac:dyDescent="0.3">
      <c r="A180" s="3">
        <v>44181</v>
      </c>
      <c r="B180" s="1">
        <v>3012</v>
      </c>
      <c r="C180" s="1">
        <v>229668.93</v>
      </c>
      <c r="D180" s="1">
        <v>12</v>
      </c>
      <c r="E180" s="1">
        <v>0.4</v>
      </c>
      <c r="F180">
        <v>8384.7099999999991</v>
      </c>
    </row>
    <row r="181" spans="1:6" x14ac:dyDescent="0.3">
      <c r="A181" s="3">
        <v>44182</v>
      </c>
      <c r="B181" s="1">
        <v>3430</v>
      </c>
      <c r="C181" s="1">
        <v>244420.34</v>
      </c>
      <c r="D181" s="1">
        <v>13</v>
      </c>
      <c r="E181" s="1">
        <v>0.38</v>
      </c>
      <c r="F181">
        <v>8798.5300000000007</v>
      </c>
    </row>
    <row r="182" spans="1:6" x14ac:dyDescent="0.3">
      <c r="A182" s="3">
        <v>44183</v>
      </c>
      <c r="B182" s="1">
        <v>3830</v>
      </c>
      <c r="C182" s="1">
        <v>263449.48</v>
      </c>
      <c r="D182" s="1">
        <v>3</v>
      </c>
      <c r="E182" s="1">
        <v>0.08</v>
      </c>
      <c r="F182">
        <v>2655.3</v>
      </c>
    </row>
    <row r="183" spans="1:6" x14ac:dyDescent="0.3">
      <c r="A183" s="3">
        <v>44184</v>
      </c>
      <c r="B183" s="1">
        <v>3705</v>
      </c>
      <c r="C183" s="1">
        <v>260247.22</v>
      </c>
      <c r="D183" s="1">
        <v>7</v>
      </c>
      <c r="E183" s="1">
        <v>0.19</v>
      </c>
      <c r="F183">
        <v>3985.34</v>
      </c>
    </row>
    <row r="184" spans="1:6" x14ac:dyDescent="0.3">
      <c r="A184" s="3">
        <v>44185</v>
      </c>
      <c r="B184" s="1">
        <v>5431</v>
      </c>
      <c r="C184" s="1">
        <v>373431.01</v>
      </c>
      <c r="D184" s="1">
        <v>4</v>
      </c>
      <c r="E184" s="1">
        <v>7.0000000000000007E-2</v>
      </c>
      <c r="F184">
        <v>1078.04</v>
      </c>
    </row>
    <row r="185" spans="1:6" x14ac:dyDescent="0.3">
      <c r="A185" s="3">
        <v>44186</v>
      </c>
      <c r="B185" s="1">
        <v>6390</v>
      </c>
      <c r="C185" s="1">
        <v>448059.05</v>
      </c>
      <c r="D185" s="1">
        <v>10</v>
      </c>
      <c r="E185" s="1">
        <v>0.16</v>
      </c>
      <c r="F185">
        <v>4317.47</v>
      </c>
    </row>
    <row r="186" spans="1:6" x14ac:dyDescent="0.3">
      <c r="A186" s="3">
        <v>44187</v>
      </c>
      <c r="B186" s="1">
        <v>6123</v>
      </c>
      <c r="C186" s="1">
        <v>440479.53</v>
      </c>
      <c r="D186" s="1">
        <v>7</v>
      </c>
      <c r="E186" s="1">
        <v>0.11</v>
      </c>
      <c r="F186">
        <v>5009.04</v>
      </c>
    </row>
    <row r="187" spans="1:6" x14ac:dyDescent="0.3">
      <c r="A187" s="3">
        <v>44188</v>
      </c>
      <c r="B187" s="1">
        <v>2941</v>
      </c>
      <c r="C187" s="1">
        <v>190250.86</v>
      </c>
      <c r="D187" s="1">
        <v>0</v>
      </c>
      <c r="E187" s="1">
        <v>0</v>
      </c>
      <c r="F187">
        <v>0</v>
      </c>
    </row>
    <row r="188" spans="1:6" x14ac:dyDescent="0.3">
      <c r="A188" s="3">
        <v>44189</v>
      </c>
      <c r="B188" s="1">
        <v>3285</v>
      </c>
      <c r="C188" s="1">
        <v>211545.63</v>
      </c>
      <c r="D188" s="1">
        <v>0</v>
      </c>
      <c r="E188" s="1">
        <v>0</v>
      </c>
      <c r="F188">
        <v>0</v>
      </c>
    </row>
    <row r="189" spans="1:6" x14ac:dyDescent="0.3">
      <c r="A189" s="3">
        <v>44190</v>
      </c>
      <c r="B189" s="1">
        <v>3649</v>
      </c>
      <c r="C189" s="1">
        <v>246470.08</v>
      </c>
      <c r="D189" s="1">
        <v>0</v>
      </c>
      <c r="E189" s="1">
        <v>0</v>
      </c>
      <c r="F189">
        <v>0</v>
      </c>
    </row>
    <row r="190" spans="1:6" x14ac:dyDescent="0.3">
      <c r="A190" s="3">
        <v>44191</v>
      </c>
      <c r="B190" s="1">
        <v>3769</v>
      </c>
      <c r="C190" s="1">
        <v>257104.75</v>
      </c>
      <c r="D190" s="1">
        <v>0</v>
      </c>
      <c r="E190" s="1">
        <v>0</v>
      </c>
      <c r="F190">
        <v>0</v>
      </c>
    </row>
    <row r="191" spans="1:6" x14ac:dyDescent="0.3">
      <c r="A191" s="3">
        <v>44192</v>
      </c>
      <c r="B191" s="1">
        <v>5347</v>
      </c>
      <c r="C191" s="1">
        <v>377875.84</v>
      </c>
      <c r="D191" s="1">
        <v>0</v>
      </c>
      <c r="E191" s="1">
        <v>0</v>
      </c>
      <c r="F191">
        <v>0</v>
      </c>
    </row>
    <row r="192" spans="1:6" x14ac:dyDescent="0.3">
      <c r="A192" s="3">
        <v>44193</v>
      </c>
      <c r="B192" s="1">
        <v>6321</v>
      </c>
      <c r="C192" s="1">
        <v>412721.56</v>
      </c>
      <c r="D192" s="1">
        <v>0</v>
      </c>
      <c r="E192" s="1">
        <v>0</v>
      </c>
      <c r="F192">
        <v>0</v>
      </c>
    </row>
    <row r="193" spans="1:6" x14ac:dyDescent="0.3">
      <c r="A193" s="3">
        <v>44194</v>
      </c>
      <c r="B193" s="1">
        <v>6205</v>
      </c>
      <c r="C193" s="1">
        <v>416623.53</v>
      </c>
      <c r="D193" s="1">
        <v>0</v>
      </c>
      <c r="E193" s="1">
        <v>0</v>
      </c>
      <c r="F193">
        <v>0</v>
      </c>
    </row>
    <row r="194" spans="1:6" x14ac:dyDescent="0.3">
      <c r="A194" s="3">
        <v>44195</v>
      </c>
      <c r="B194" s="1">
        <v>3018</v>
      </c>
      <c r="C194" s="1">
        <v>198556.4</v>
      </c>
      <c r="D194" s="1">
        <v>0</v>
      </c>
      <c r="E194" s="1">
        <v>0</v>
      </c>
      <c r="F194">
        <v>0</v>
      </c>
    </row>
    <row r="195" spans="1:6" x14ac:dyDescent="0.3">
      <c r="A195" s="3">
        <v>44196</v>
      </c>
      <c r="B195" s="1">
        <v>3377</v>
      </c>
      <c r="C195" s="1">
        <v>225928.79</v>
      </c>
      <c r="D195" s="1">
        <v>0</v>
      </c>
      <c r="E195" s="1">
        <v>0</v>
      </c>
      <c r="F195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Normal="100" workbookViewId="0"/>
  </sheetViews>
  <sheetFormatPr baseColWidth="10" defaultColWidth="10.5546875" defaultRowHeight="14.4" x14ac:dyDescent="0.3"/>
  <cols>
    <col min="1" max="1" width="7.33203125" style="1" customWidth="1"/>
    <col min="2" max="2" width="16.109375" style="1" customWidth="1"/>
    <col min="3" max="3" width="15" style="1" customWidth="1"/>
    <col min="4" max="4" width="21" style="1" customWidth="1"/>
    <col min="5" max="5" width="15.109375" style="1" customWidth="1"/>
    <col min="6" max="6" width="17.44140625" style="1" customWidth="1"/>
  </cols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6</v>
      </c>
      <c r="E1" s="1" t="s">
        <v>7</v>
      </c>
      <c r="F1" s="1" t="s">
        <v>8</v>
      </c>
    </row>
    <row r="2" spans="1:6" x14ac:dyDescent="0.3">
      <c r="A2" s="1">
        <v>0</v>
      </c>
      <c r="B2" s="4" t="b">
        <f>TRUE()</f>
        <v>1</v>
      </c>
      <c r="C2" s="4" t="b">
        <f>FALSE()</f>
        <v>0</v>
      </c>
      <c r="D2" s="1">
        <v>18153</v>
      </c>
      <c r="E2" s="1">
        <v>188</v>
      </c>
      <c r="F2" s="1">
        <v>1.04</v>
      </c>
    </row>
    <row r="3" spans="1:6" x14ac:dyDescent="0.3">
      <c r="A3" s="1">
        <v>1</v>
      </c>
      <c r="B3" s="4" t="b">
        <f>TRUE()</f>
        <v>1</v>
      </c>
      <c r="C3" s="4" t="b">
        <f>FALSE()</f>
        <v>0</v>
      </c>
      <c r="D3" s="1">
        <v>18461</v>
      </c>
      <c r="E3" s="1">
        <v>169</v>
      </c>
      <c r="F3" s="1">
        <v>0.92</v>
      </c>
    </row>
    <row r="4" spans="1:6" x14ac:dyDescent="0.3">
      <c r="A4" s="1">
        <v>2</v>
      </c>
      <c r="B4" s="4" t="b">
        <f>TRUE()</f>
        <v>1</v>
      </c>
      <c r="C4" s="4" t="b">
        <f>FALSE()</f>
        <v>0</v>
      </c>
      <c r="D4" s="1">
        <v>18140</v>
      </c>
      <c r="E4" s="1">
        <v>168</v>
      </c>
      <c r="F4" s="1">
        <v>0.93</v>
      </c>
    </row>
    <row r="5" spans="1:6" x14ac:dyDescent="0.3">
      <c r="A5" s="1">
        <v>3</v>
      </c>
      <c r="B5" s="4" t="b">
        <f>TRUE()</f>
        <v>1</v>
      </c>
      <c r="C5" s="4" t="b">
        <f>FALSE()</f>
        <v>0</v>
      </c>
      <c r="D5" s="1">
        <v>18199</v>
      </c>
      <c r="E5" s="1">
        <v>194</v>
      </c>
      <c r="F5" s="1">
        <v>1.07</v>
      </c>
    </row>
    <row r="6" spans="1:6" x14ac:dyDescent="0.3">
      <c r="A6" s="1">
        <v>4</v>
      </c>
      <c r="B6" s="4" t="b">
        <f>TRUE()</f>
        <v>1</v>
      </c>
      <c r="C6" s="4" t="b">
        <f>FALSE()</f>
        <v>0</v>
      </c>
      <c r="D6" s="1">
        <v>18075</v>
      </c>
      <c r="E6" s="1">
        <v>15</v>
      </c>
      <c r="F6" s="1">
        <v>0.08</v>
      </c>
    </row>
    <row r="7" spans="1:6" x14ac:dyDescent="0.3">
      <c r="A7" s="1">
        <v>5</v>
      </c>
      <c r="B7" s="4" t="b">
        <f>TRUE()</f>
        <v>1</v>
      </c>
      <c r="C7" s="4" t="b">
        <f>FALSE()</f>
        <v>0</v>
      </c>
      <c r="D7" s="1">
        <v>17917</v>
      </c>
      <c r="E7" s="1">
        <v>20</v>
      </c>
      <c r="F7" s="1">
        <v>0.11</v>
      </c>
    </row>
    <row r="8" spans="1:6" x14ac:dyDescent="0.3">
      <c r="A8" s="1">
        <v>6</v>
      </c>
      <c r="B8" s="4" t="b">
        <f>TRUE()</f>
        <v>1</v>
      </c>
      <c r="C8" s="4" t="b">
        <f>FALSE()</f>
        <v>0</v>
      </c>
      <c r="D8" s="1">
        <v>18106</v>
      </c>
      <c r="E8" s="1">
        <v>14</v>
      </c>
      <c r="F8" s="1">
        <v>0.08</v>
      </c>
    </row>
    <row r="9" spans="1:6" x14ac:dyDescent="0.3">
      <c r="A9" s="1">
        <v>7</v>
      </c>
      <c r="B9" s="4" t="b">
        <f>FALSE()</f>
        <v>0</v>
      </c>
      <c r="C9" s="4" t="b">
        <f>FALSE()</f>
        <v>0</v>
      </c>
      <c r="D9" s="1">
        <v>18098</v>
      </c>
      <c r="E9" s="1">
        <v>16</v>
      </c>
      <c r="F9" s="1">
        <v>0.09</v>
      </c>
    </row>
    <row r="10" spans="1:6" x14ac:dyDescent="0.3">
      <c r="A10" s="1">
        <v>8</v>
      </c>
      <c r="B10" s="4" t="b">
        <f>FALSE()</f>
        <v>0</v>
      </c>
      <c r="C10" s="4" t="b">
        <f>FALSE()</f>
        <v>0</v>
      </c>
      <c r="D10" s="1">
        <v>17993</v>
      </c>
      <c r="E10" s="1">
        <v>10</v>
      </c>
      <c r="F10" s="1">
        <v>0.06</v>
      </c>
    </row>
    <row r="11" spans="1:6" x14ac:dyDescent="0.3">
      <c r="A11" s="1">
        <v>9</v>
      </c>
      <c r="B11" s="4" t="b">
        <f>FALSE()</f>
        <v>0</v>
      </c>
      <c r="C11" s="4" t="b">
        <f>TRUE()</f>
        <v>1</v>
      </c>
      <c r="D11" s="1">
        <v>18046</v>
      </c>
      <c r="E11" s="1">
        <v>14</v>
      </c>
      <c r="F11" s="1">
        <v>0.08</v>
      </c>
    </row>
    <row r="12" spans="1:6" x14ac:dyDescent="0.3">
      <c r="A12" s="1">
        <v>10</v>
      </c>
      <c r="B12" s="4" t="b">
        <f>FALSE()</f>
        <v>0</v>
      </c>
      <c r="C12" s="4" t="b">
        <f>TRUE()</f>
        <v>1</v>
      </c>
      <c r="D12" s="1">
        <v>18049</v>
      </c>
      <c r="E12" s="1">
        <v>12</v>
      </c>
      <c r="F12" s="1">
        <v>7.0000000000000007E-2</v>
      </c>
    </row>
    <row r="13" spans="1:6" x14ac:dyDescent="0.3">
      <c r="A13" s="1">
        <v>11</v>
      </c>
      <c r="B13" s="4" t="b">
        <f>FALSE()</f>
        <v>0</v>
      </c>
      <c r="C13" s="4" t="b">
        <f>TRUE()</f>
        <v>1</v>
      </c>
      <c r="D13" s="1">
        <v>18088</v>
      </c>
      <c r="E13" s="1">
        <v>17</v>
      </c>
      <c r="F13" s="1">
        <v>0.09</v>
      </c>
    </row>
    <row r="14" spans="1:6" x14ac:dyDescent="0.3">
      <c r="A14" s="1">
        <v>12</v>
      </c>
      <c r="B14" s="4" t="b">
        <f>FALSE()</f>
        <v>0</v>
      </c>
      <c r="C14" s="4" t="b">
        <f>TRUE()</f>
        <v>1</v>
      </c>
      <c r="D14" s="1">
        <v>28037</v>
      </c>
      <c r="E14" s="1">
        <v>17</v>
      </c>
      <c r="F14" s="1">
        <v>0.06</v>
      </c>
    </row>
    <row r="15" spans="1:6" x14ac:dyDescent="0.3">
      <c r="A15" s="1">
        <v>13</v>
      </c>
      <c r="B15" s="4" t="b">
        <f>FALSE()</f>
        <v>0</v>
      </c>
      <c r="C15" s="4" t="b">
        <f>FALSE()</f>
        <v>0</v>
      </c>
      <c r="D15" s="1">
        <v>28178</v>
      </c>
      <c r="E15" s="1">
        <v>14</v>
      </c>
      <c r="F15" s="1">
        <v>0.05</v>
      </c>
    </row>
    <row r="16" spans="1:6" x14ac:dyDescent="0.3">
      <c r="A16" s="1">
        <v>14</v>
      </c>
      <c r="B16" s="4" t="b">
        <f>FALSE()</f>
        <v>0</v>
      </c>
      <c r="C16" s="4" t="b">
        <f>FALSE()</f>
        <v>0</v>
      </c>
      <c r="D16" s="1">
        <v>28204</v>
      </c>
      <c r="E16" s="1">
        <v>14</v>
      </c>
      <c r="F16" s="1">
        <v>0.05</v>
      </c>
    </row>
    <row r="17" spans="1:6" x14ac:dyDescent="0.3">
      <c r="A17" s="1">
        <v>15</v>
      </c>
      <c r="B17" s="4" t="b">
        <f>FALSE()</f>
        <v>0</v>
      </c>
      <c r="C17" s="4" t="b">
        <f>FALSE()</f>
        <v>0</v>
      </c>
      <c r="D17" s="1">
        <v>28048</v>
      </c>
      <c r="E17" s="1">
        <v>21</v>
      </c>
      <c r="F17" s="1">
        <v>7.0000000000000007E-2</v>
      </c>
    </row>
    <row r="18" spans="1:6" x14ac:dyDescent="0.3">
      <c r="A18" s="1">
        <v>16</v>
      </c>
      <c r="B18" s="4" t="b">
        <f>FALSE()</f>
        <v>0</v>
      </c>
      <c r="C18" s="4" t="b">
        <f>FALSE()</f>
        <v>0</v>
      </c>
      <c r="D18" s="1">
        <v>28563</v>
      </c>
      <c r="E18" s="1">
        <v>21</v>
      </c>
      <c r="F18" s="1">
        <v>7.0000000000000007E-2</v>
      </c>
    </row>
    <row r="19" spans="1:6" x14ac:dyDescent="0.3">
      <c r="A19" s="1">
        <v>17</v>
      </c>
      <c r="B19" s="4" t="b">
        <f>FALSE()</f>
        <v>0</v>
      </c>
      <c r="C19" s="4" t="b">
        <f>FALSE()</f>
        <v>0</v>
      </c>
      <c r="D19" s="1">
        <v>28064</v>
      </c>
      <c r="E19" s="1">
        <v>16</v>
      </c>
      <c r="F19" s="1">
        <v>0.06</v>
      </c>
    </row>
    <row r="20" spans="1:6" x14ac:dyDescent="0.3">
      <c r="A20" s="1">
        <v>18</v>
      </c>
      <c r="B20" s="4" t="b">
        <f>FALSE()</f>
        <v>0</v>
      </c>
      <c r="C20" s="4" t="b">
        <f>TRUE()</f>
        <v>1</v>
      </c>
      <c r="D20" s="1">
        <v>28001</v>
      </c>
      <c r="E20" s="1">
        <v>30</v>
      </c>
      <c r="F20" s="1">
        <v>0.11</v>
      </c>
    </row>
    <row r="21" spans="1:6" x14ac:dyDescent="0.3">
      <c r="A21" s="1">
        <v>19</v>
      </c>
      <c r="B21" s="4" t="b">
        <f>FALSE()</f>
        <v>0</v>
      </c>
      <c r="C21" s="4" t="b">
        <f>TRUE()</f>
        <v>1</v>
      </c>
      <c r="D21" s="1">
        <v>27925</v>
      </c>
      <c r="E21" s="1">
        <v>24</v>
      </c>
      <c r="F21" s="1">
        <v>0.09</v>
      </c>
    </row>
    <row r="22" spans="1:6" x14ac:dyDescent="0.3">
      <c r="A22" s="1">
        <v>20</v>
      </c>
      <c r="B22" s="4" t="b">
        <f>FALSE()</f>
        <v>0</v>
      </c>
      <c r="C22" s="4" t="b">
        <f>TRUE()</f>
        <v>1</v>
      </c>
      <c r="D22" s="1">
        <v>27983</v>
      </c>
      <c r="E22" s="1">
        <v>36</v>
      </c>
      <c r="F22" s="1">
        <v>0.13</v>
      </c>
    </row>
    <row r="23" spans="1:6" x14ac:dyDescent="0.3">
      <c r="A23" s="1">
        <v>21</v>
      </c>
      <c r="B23" s="4" t="b">
        <f>FALSE()</f>
        <v>0</v>
      </c>
      <c r="C23" s="4" t="b">
        <f>TRUE()</f>
        <v>1</v>
      </c>
      <c r="D23" s="1">
        <v>28205</v>
      </c>
      <c r="E23" s="1">
        <v>27</v>
      </c>
      <c r="F23" s="1">
        <v>0.1</v>
      </c>
    </row>
    <row r="24" spans="1:6" x14ac:dyDescent="0.3">
      <c r="A24" s="1">
        <v>22</v>
      </c>
      <c r="B24" s="4" t="b">
        <f>FALSE()</f>
        <v>0</v>
      </c>
      <c r="C24" s="4" t="b">
        <f>FALSE()</f>
        <v>0</v>
      </c>
      <c r="D24" s="1">
        <v>28388</v>
      </c>
      <c r="E24" s="1">
        <v>550</v>
      </c>
      <c r="F24" s="1">
        <v>1.94</v>
      </c>
    </row>
    <row r="25" spans="1:6" x14ac:dyDescent="0.3">
      <c r="A25" s="1">
        <v>23</v>
      </c>
      <c r="B25" s="4" t="b">
        <f>FALSE()</f>
        <v>0</v>
      </c>
      <c r="C25" s="4" t="b">
        <f>FALSE()</f>
        <v>0</v>
      </c>
      <c r="D25" s="1">
        <v>28798</v>
      </c>
      <c r="E25" s="1">
        <v>538</v>
      </c>
      <c r="F25" s="1">
        <v>1.87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zoomScaleNormal="100" workbookViewId="0"/>
  </sheetViews>
  <sheetFormatPr baseColWidth="10" defaultColWidth="10.5546875" defaultRowHeight="14.4" x14ac:dyDescent="0.3"/>
  <cols>
    <col min="1" max="1" width="15.6640625" style="1" customWidth="1"/>
    <col min="2" max="2" width="21" style="1" customWidth="1"/>
    <col min="3" max="3" width="15.109375" style="1" customWidth="1"/>
    <col min="4" max="4" width="17.44140625" style="1" customWidth="1"/>
  </cols>
  <sheetData>
    <row r="1" spans="1:4" x14ac:dyDescent="0.3">
      <c r="A1" s="1" t="s">
        <v>708</v>
      </c>
      <c r="B1" s="1" t="s">
        <v>6</v>
      </c>
      <c r="C1" s="1" t="s">
        <v>7</v>
      </c>
      <c r="D1" s="1" t="s">
        <v>8</v>
      </c>
    </row>
    <row r="2" spans="1:4" x14ac:dyDescent="0.3">
      <c r="A2" s="1" t="s">
        <v>709</v>
      </c>
      <c r="B2" s="1">
        <v>843</v>
      </c>
      <c r="C2" s="1">
        <v>14</v>
      </c>
      <c r="D2" s="1">
        <v>1.66</v>
      </c>
    </row>
    <row r="3" spans="1:4" x14ac:dyDescent="0.3">
      <c r="A3" s="1" t="s">
        <v>710</v>
      </c>
      <c r="B3" s="1">
        <v>3277</v>
      </c>
      <c r="C3" s="1">
        <v>40</v>
      </c>
      <c r="D3" s="1">
        <v>1.22</v>
      </c>
    </row>
    <row r="4" spans="1:4" x14ac:dyDescent="0.3">
      <c r="A4" s="1" t="s">
        <v>711</v>
      </c>
      <c r="B4" s="1">
        <v>2490</v>
      </c>
      <c r="C4" s="1">
        <v>22</v>
      </c>
      <c r="D4" s="1">
        <v>0.88</v>
      </c>
    </row>
    <row r="5" spans="1:4" x14ac:dyDescent="0.3">
      <c r="A5" s="1" t="s">
        <v>712</v>
      </c>
      <c r="B5" s="1">
        <v>1090</v>
      </c>
      <c r="C5" s="1">
        <v>9</v>
      </c>
      <c r="D5" s="1">
        <v>0.83</v>
      </c>
    </row>
    <row r="6" spans="1:4" x14ac:dyDescent="0.3">
      <c r="A6" s="1" t="s">
        <v>713</v>
      </c>
      <c r="B6" s="1">
        <v>4611</v>
      </c>
      <c r="C6" s="1">
        <v>37</v>
      </c>
      <c r="D6" s="1">
        <v>0.8</v>
      </c>
    </row>
    <row r="7" spans="1:4" x14ac:dyDescent="0.3">
      <c r="A7" s="1" t="s">
        <v>714</v>
      </c>
      <c r="B7" s="1">
        <v>1517</v>
      </c>
      <c r="C7" s="1">
        <v>10</v>
      </c>
      <c r="D7" s="1">
        <v>0.66</v>
      </c>
    </row>
    <row r="8" spans="1:4" x14ac:dyDescent="0.3">
      <c r="A8" s="1" t="s">
        <v>715</v>
      </c>
      <c r="B8" s="1">
        <v>8833</v>
      </c>
      <c r="C8" s="1">
        <v>54</v>
      </c>
      <c r="D8" s="1">
        <v>0.61</v>
      </c>
    </row>
    <row r="9" spans="1:4" x14ac:dyDescent="0.3">
      <c r="A9" s="1" t="s">
        <v>716</v>
      </c>
      <c r="B9" s="1">
        <v>12506</v>
      </c>
      <c r="C9" s="1">
        <v>75</v>
      </c>
      <c r="D9" s="1">
        <v>0.6</v>
      </c>
    </row>
    <row r="10" spans="1:4" x14ac:dyDescent="0.3">
      <c r="A10" s="1" t="s">
        <v>717</v>
      </c>
      <c r="B10" s="1">
        <v>4592</v>
      </c>
      <c r="C10" s="1">
        <v>27</v>
      </c>
      <c r="D10" s="1">
        <v>0.59</v>
      </c>
    </row>
    <row r="11" spans="1:4" x14ac:dyDescent="0.3">
      <c r="A11" s="1" t="s">
        <v>718</v>
      </c>
      <c r="B11" s="1">
        <v>12631</v>
      </c>
      <c r="C11" s="1">
        <v>75</v>
      </c>
      <c r="D11" s="1">
        <v>0.59</v>
      </c>
    </row>
    <row r="12" spans="1:4" x14ac:dyDescent="0.3">
      <c r="A12" s="1" t="s">
        <v>719</v>
      </c>
      <c r="B12" s="1">
        <v>3449</v>
      </c>
      <c r="C12" s="1">
        <v>20</v>
      </c>
      <c r="D12" s="1">
        <v>0.57999999999999996</v>
      </c>
    </row>
    <row r="13" spans="1:4" x14ac:dyDescent="0.3">
      <c r="A13" s="1" t="s">
        <v>720</v>
      </c>
      <c r="B13" s="1">
        <v>7020</v>
      </c>
      <c r="C13" s="1">
        <v>39</v>
      </c>
      <c r="D13" s="1">
        <v>0.56000000000000005</v>
      </c>
    </row>
    <row r="14" spans="1:4" x14ac:dyDescent="0.3">
      <c r="A14" s="1" t="s">
        <v>721</v>
      </c>
      <c r="B14" s="1">
        <v>8731</v>
      </c>
      <c r="C14" s="1">
        <v>48</v>
      </c>
      <c r="D14" s="1">
        <v>0.55000000000000004</v>
      </c>
    </row>
    <row r="15" spans="1:4" x14ac:dyDescent="0.3">
      <c r="A15" s="1" t="s">
        <v>722</v>
      </c>
      <c r="B15" s="1">
        <v>13719</v>
      </c>
      <c r="C15" s="1">
        <v>73</v>
      </c>
      <c r="D15" s="1">
        <v>0.53</v>
      </c>
    </row>
    <row r="16" spans="1:4" x14ac:dyDescent="0.3">
      <c r="A16" s="1" t="s">
        <v>723</v>
      </c>
      <c r="B16" s="1">
        <v>12912</v>
      </c>
      <c r="C16" s="1">
        <v>69</v>
      </c>
      <c r="D16" s="1">
        <v>0.53</v>
      </c>
    </row>
    <row r="17" spans="1:4" x14ac:dyDescent="0.3">
      <c r="A17" s="1" t="s">
        <v>724</v>
      </c>
      <c r="B17" s="1">
        <v>12598</v>
      </c>
      <c r="C17" s="1">
        <v>65</v>
      </c>
      <c r="D17" s="1">
        <v>0.52</v>
      </c>
    </row>
    <row r="18" spans="1:4" x14ac:dyDescent="0.3">
      <c r="A18" s="1" t="s">
        <v>725</v>
      </c>
      <c r="B18" s="1">
        <v>35699</v>
      </c>
      <c r="C18" s="1">
        <v>185</v>
      </c>
      <c r="D18" s="1">
        <v>0.52</v>
      </c>
    </row>
    <row r="19" spans="1:4" x14ac:dyDescent="0.3">
      <c r="A19" s="1" t="s">
        <v>726</v>
      </c>
      <c r="B19" s="1">
        <v>13154</v>
      </c>
      <c r="C19" s="1">
        <v>67</v>
      </c>
      <c r="D19" s="1">
        <v>0.51</v>
      </c>
    </row>
    <row r="20" spans="1:4" x14ac:dyDescent="0.3">
      <c r="A20" s="1" t="s">
        <v>727</v>
      </c>
      <c r="B20" s="1">
        <v>11277</v>
      </c>
      <c r="C20" s="1">
        <v>58</v>
      </c>
      <c r="D20" s="1">
        <v>0.51</v>
      </c>
    </row>
    <row r="21" spans="1:4" x14ac:dyDescent="0.3">
      <c r="A21" s="1" t="s">
        <v>728</v>
      </c>
      <c r="B21" s="1">
        <v>11379</v>
      </c>
      <c r="C21" s="1">
        <v>57</v>
      </c>
      <c r="D21" s="1">
        <v>0.5</v>
      </c>
    </row>
    <row r="22" spans="1:4" x14ac:dyDescent="0.3">
      <c r="A22" s="1" t="s">
        <v>729</v>
      </c>
      <c r="B22" s="1">
        <v>16739</v>
      </c>
      <c r="C22" s="1">
        <v>78</v>
      </c>
      <c r="D22" s="1">
        <v>0.47</v>
      </c>
    </row>
    <row r="23" spans="1:4" x14ac:dyDescent="0.3">
      <c r="A23" s="1" t="s">
        <v>730</v>
      </c>
      <c r="B23" s="1">
        <v>10062</v>
      </c>
      <c r="C23" s="1">
        <v>46</v>
      </c>
      <c r="D23" s="1">
        <v>0.46</v>
      </c>
    </row>
    <row r="24" spans="1:4" x14ac:dyDescent="0.3">
      <c r="A24" s="1" t="s">
        <v>731</v>
      </c>
      <c r="B24" s="1">
        <v>6397</v>
      </c>
      <c r="C24" s="1">
        <v>27</v>
      </c>
      <c r="D24" s="1">
        <v>0.42</v>
      </c>
    </row>
    <row r="25" spans="1:4" x14ac:dyDescent="0.3">
      <c r="A25" s="1" t="s">
        <v>732</v>
      </c>
      <c r="B25" s="1">
        <v>10528</v>
      </c>
      <c r="C25" s="1">
        <v>43</v>
      </c>
      <c r="D25" s="1">
        <v>0.41</v>
      </c>
    </row>
    <row r="26" spans="1:4" x14ac:dyDescent="0.3">
      <c r="A26" s="1" t="s">
        <v>733</v>
      </c>
      <c r="B26" s="1">
        <v>9943</v>
      </c>
      <c r="C26" s="1">
        <v>37</v>
      </c>
      <c r="D26" s="1">
        <v>0.37</v>
      </c>
    </row>
    <row r="27" spans="1:4" x14ac:dyDescent="0.3">
      <c r="A27" s="1" t="s">
        <v>734</v>
      </c>
      <c r="B27" s="1">
        <v>8116</v>
      </c>
      <c r="C27" s="1">
        <v>30</v>
      </c>
      <c r="D27" s="1">
        <v>0.37</v>
      </c>
    </row>
    <row r="28" spans="1:4" x14ac:dyDescent="0.3">
      <c r="A28" s="1" t="s">
        <v>735</v>
      </c>
      <c r="B28" s="1">
        <v>12868</v>
      </c>
      <c r="C28" s="1">
        <v>46</v>
      </c>
      <c r="D28" s="1">
        <v>0.36</v>
      </c>
    </row>
    <row r="29" spans="1:4" x14ac:dyDescent="0.3">
      <c r="A29" s="1" t="s">
        <v>736</v>
      </c>
      <c r="B29" s="1">
        <v>17607</v>
      </c>
      <c r="C29" s="1">
        <v>61</v>
      </c>
      <c r="D29" s="1">
        <v>0.35</v>
      </c>
    </row>
    <row r="30" spans="1:4" x14ac:dyDescent="0.3">
      <c r="A30" s="1" t="s">
        <v>737</v>
      </c>
      <c r="B30" s="1">
        <v>10257</v>
      </c>
      <c r="C30" s="1">
        <v>36</v>
      </c>
      <c r="D30" s="1">
        <v>0.35</v>
      </c>
    </row>
    <row r="31" spans="1:4" x14ac:dyDescent="0.3">
      <c r="A31" s="1" t="s">
        <v>738</v>
      </c>
      <c r="B31" s="1">
        <v>5186</v>
      </c>
      <c r="C31" s="1">
        <v>18</v>
      </c>
      <c r="D31" s="1">
        <v>0.35</v>
      </c>
    </row>
    <row r="32" spans="1:4" x14ac:dyDescent="0.3">
      <c r="A32" s="1" t="s">
        <v>739</v>
      </c>
      <c r="B32" s="1">
        <v>12541</v>
      </c>
      <c r="C32" s="1">
        <v>43</v>
      </c>
      <c r="D32" s="1">
        <v>0.34</v>
      </c>
    </row>
    <row r="33" spans="1:4" x14ac:dyDescent="0.3">
      <c r="A33" s="1" t="s">
        <v>740</v>
      </c>
      <c r="B33" s="1">
        <v>5250</v>
      </c>
      <c r="C33" s="1">
        <v>18</v>
      </c>
      <c r="D33" s="1">
        <v>0.34</v>
      </c>
    </row>
    <row r="34" spans="1:4" x14ac:dyDescent="0.3">
      <c r="A34" s="1" t="s">
        <v>741</v>
      </c>
      <c r="B34" s="1">
        <v>23898</v>
      </c>
      <c r="C34" s="1">
        <v>76</v>
      </c>
      <c r="D34" s="1">
        <v>0.32</v>
      </c>
    </row>
    <row r="35" spans="1:4" x14ac:dyDescent="0.3">
      <c r="A35" s="1" t="s">
        <v>742</v>
      </c>
      <c r="B35" s="1">
        <v>19042</v>
      </c>
      <c r="C35" s="1">
        <v>61</v>
      </c>
      <c r="D35" s="1">
        <v>0.32</v>
      </c>
    </row>
    <row r="36" spans="1:4" x14ac:dyDescent="0.3">
      <c r="A36" s="1" t="s">
        <v>743</v>
      </c>
      <c r="B36" s="1">
        <v>16878</v>
      </c>
      <c r="C36" s="1">
        <v>53</v>
      </c>
      <c r="D36" s="1">
        <v>0.31</v>
      </c>
    </row>
    <row r="37" spans="1:4" x14ac:dyDescent="0.3">
      <c r="A37" s="1" t="s">
        <v>744</v>
      </c>
      <c r="B37" s="1">
        <v>36248</v>
      </c>
      <c r="C37" s="1">
        <v>114</v>
      </c>
      <c r="D37" s="1">
        <v>0.31</v>
      </c>
    </row>
    <row r="38" spans="1:4" x14ac:dyDescent="0.3">
      <c r="A38" s="1" t="s">
        <v>745</v>
      </c>
      <c r="B38" s="1">
        <v>18104</v>
      </c>
      <c r="C38" s="1">
        <v>53</v>
      </c>
      <c r="D38" s="1">
        <v>0.28999999999999998</v>
      </c>
    </row>
    <row r="39" spans="1:4" x14ac:dyDescent="0.3">
      <c r="A39" s="1" t="s">
        <v>746</v>
      </c>
      <c r="B39" s="1">
        <v>40625</v>
      </c>
      <c r="C39" s="1">
        <v>113</v>
      </c>
      <c r="D39" s="1">
        <v>0.28000000000000003</v>
      </c>
    </row>
    <row r="40" spans="1:4" x14ac:dyDescent="0.3">
      <c r="A40" s="1" t="s">
        <v>747</v>
      </c>
      <c r="B40" s="1">
        <v>6931</v>
      </c>
      <c r="C40" s="1">
        <v>19</v>
      </c>
      <c r="D40" s="1">
        <v>0.27</v>
      </c>
    </row>
    <row r="41" spans="1:4" x14ac:dyDescent="0.3">
      <c r="A41" s="1" t="s">
        <v>748</v>
      </c>
      <c r="B41" s="1">
        <v>13484</v>
      </c>
      <c r="C41" s="1">
        <v>34</v>
      </c>
      <c r="D41" s="1">
        <v>0.25</v>
      </c>
    </row>
    <row r="42" spans="1:4" x14ac:dyDescent="0.3">
      <c r="A42" s="1" t="s">
        <v>749</v>
      </c>
      <c r="B42" s="1">
        <v>19558</v>
      </c>
      <c r="C42" s="1">
        <v>47</v>
      </c>
      <c r="D42" s="1">
        <v>0.24</v>
      </c>
    </row>
    <row r="43" spans="1:4" x14ac:dyDescent="0.3">
      <c r="A43" s="1" t="s">
        <v>750</v>
      </c>
      <c r="B43" s="1">
        <v>8988</v>
      </c>
      <c r="C43" s="1">
        <v>22</v>
      </c>
      <c r="D43" s="1">
        <v>0.24</v>
      </c>
    </row>
    <row r="44" spans="1:4" x14ac:dyDescent="0.3">
      <c r="A44" s="1" t="s">
        <v>751</v>
      </c>
      <c r="B44" s="1">
        <v>7130</v>
      </c>
      <c r="C44" s="1">
        <v>15</v>
      </c>
      <c r="D44" s="1">
        <v>0.21</v>
      </c>
    </row>
    <row r="45" spans="1:4" x14ac:dyDescent="0.3">
      <c r="A45" s="1" t="s">
        <v>752</v>
      </c>
      <c r="B45" s="1">
        <v>7498</v>
      </c>
      <c r="C45" s="1">
        <v>9</v>
      </c>
      <c r="D45" s="1">
        <v>0.12</v>
      </c>
    </row>
    <row r="46" spans="1:4" x14ac:dyDescent="0.3">
      <c r="A46" s="1" t="s">
        <v>753</v>
      </c>
      <c r="B46" s="1">
        <v>5886</v>
      </c>
      <c r="C46" s="1">
        <v>2</v>
      </c>
      <c r="D46" s="1">
        <v>0.03</v>
      </c>
    </row>
    <row r="47" spans="1:4" x14ac:dyDescent="0.3">
      <c r="A47" s="1" t="s">
        <v>754</v>
      </c>
      <c r="B47" s="1">
        <v>4658</v>
      </c>
      <c r="C47" s="1">
        <v>0</v>
      </c>
      <c r="D47" s="1">
        <v>0</v>
      </c>
    </row>
    <row r="48" spans="1:4" x14ac:dyDescent="0.3">
      <c r="A48" s="1" t="s">
        <v>755</v>
      </c>
      <c r="B48" s="1">
        <v>5044</v>
      </c>
      <c r="C48" s="1">
        <v>0</v>
      </c>
      <c r="D48" s="1">
        <v>0</v>
      </c>
    </row>
    <row r="49" spans="1:4" x14ac:dyDescent="0.3">
      <c r="A49" s="1" t="s">
        <v>756</v>
      </c>
      <c r="B49" s="1">
        <v>195</v>
      </c>
      <c r="C49" s="1">
        <v>0</v>
      </c>
      <c r="D49" s="1">
        <v>0</v>
      </c>
    </row>
    <row r="50" spans="1:4" x14ac:dyDescent="0.3">
      <c r="A50" s="1" t="s">
        <v>757</v>
      </c>
      <c r="B50" s="1">
        <v>11279</v>
      </c>
      <c r="C50" s="1">
        <v>0</v>
      </c>
      <c r="D50" s="1">
        <v>0</v>
      </c>
    </row>
    <row r="51" spans="1:4" x14ac:dyDescent="0.3">
      <c r="A51" s="1" t="s">
        <v>758</v>
      </c>
      <c r="B51" s="1">
        <v>2451</v>
      </c>
      <c r="C51" s="1">
        <v>0</v>
      </c>
      <c r="D51" s="1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zoomScaleNormal="100" workbookViewId="0"/>
  </sheetViews>
  <sheetFormatPr baseColWidth="10" defaultColWidth="10.5546875" defaultRowHeight="14.4" x14ac:dyDescent="0.3"/>
  <cols>
    <col min="1" max="1" width="19.5546875" style="1" customWidth="1"/>
    <col min="2" max="2" width="21" style="1" customWidth="1"/>
    <col min="3" max="3" width="14.109375" style="1" customWidth="1"/>
    <col min="4" max="4" width="18.88671875" style="1" customWidth="1"/>
    <col min="5" max="5" width="15.109375" style="1" customWidth="1"/>
    <col min="6" max="6" width="17.44140625" style="1" customWidth="1"/>
  </cols>
  <sheetData>
    <row r="1" spans="1:6" x14ac:dyDescent="0.3">
      <c r="A1" s="1" t="s">
        <v>759</v>
      </c>
      <c r="B1" s="1" t="s">
        <v>6</v>
      </c>
      <c r="C1" s="1" t="s">
        <v>703</v>
      </c>
      <c r="D1" s="1" t="s">
        <v>760</v>
      </c>
      <c r="E1" s="1" t="s">
        <v>7</v>
      </c>
      <c r="F1" s="1" t="s">
        <v>8</v>
      </c>
    </row>
    <row r="2" spans="1:6" x14ac:dyDescent="0.3">
      <c r="A2" s="1" t="s">
        <v>761</v>
      </c>
      <c r="B2" s="1">
        <v>41779</v>
      </c>
      <c r="C2" s="1">
        <v>3487779.99</v>
      </c>
      <c r="D2" s="1">
        <v>83.48</v>
      </c>
      <c r="E2" s="1">
        <v>506</v>
      </c>
      <c r="F2" s="1">
        <v>1.21</v>
      </c>
    </row>
    <row r="3" spans="1:6" x14ac:dyDescent="0.3">
      <c r="A3" s="1" t="s">
        <v>762</v>
      </c>
      <c r="B3" s="1">
        <v>27367</v>
      </c>
      <c r="C3" s="1">
        <v>2151052.6800000002</v>
      </c>
      <c r="D3" s="1">
        <v>78.599999999999994</v>
      </c>
      <c r="E3" s="1">
        <v>267</v>
      </c>
      <c r="F3" s="1">
        <v>0.98</v>
      </c>
    </row>
    <row r="4" spans="1:6" x14ac:dyDescent="0.3">
      <c r="A4" s="1" t="s">
        <v>763</v>
      </c>
      <c r="B4" s="1">
        <v>52553</v>
      </c>
      <c r="C4" s="1">
        <v>6090121.5899999999</v>
      </c>
      <c r="D4" s="1">
        <v>115.89</v>
      </c>
      <c r="E4" s="1">
        <v>485</v>
      </c>
      <c r="F4" s="1">
        <v>0.92</v>
      </c>
    </row>
    <row r="5" spans="1:6" x14ac:dyDescent="0.3">
      <c r="A5" s="1" t="s">
        <v>764</v>
      </c>
      <c r="B5" s="1">
        <v>49791</v>
      </c>
      <c r="C5" s="1">
        <v>3827058.61</v>
      </c>
      <c r="D5" s="1">
        <v>76.86</v>
      </c>
      <c r="E5" s="1">
        <v>213</v>
      </c>
      <c r="F5" s="1">
        <v>0.43</v>
      </c>
    </row>
    <row r="6" spans="1:6" x14ac:dyDescent="0.3">
      <c r="A6" s="1" t="s">
        <v>765</v>
      </c>
      <c r="B6" s="1">
        <v>56370</v>
      </c>
      <c r="C6" s="1">
        <v>3583835.56</v>
      </c>
      <c r="D6" s="1">
        <v>63.58</v>
      </c>
      <c r="E6" s="1">
        <v>154</v>
      </c>
      <c r="F6" s="1">
        <v>0.27</v>
      </c>
    </row>
    <row r="7" spans="1:6" x14ac:dyDescent="0.3">
      <c r="A7" s="1" t="s">
        <v>766</v>
      </c>
      <c r="B7" s="1">
        <v>17449</v>
      </c>
      <c r="C7" s="1">
        <v>1961087.57</v>
      </c>
      <c r="D7" s="1">
        <v>112.39</v>
      </c>
      <c r="E7" s="1">
        <v>40</v>
      </c>
      <c r="F7" s="1">
        <v>0.23</v>
      </c>
    </row>
    <row r="8" spans="1:6" x14ac:dyDescent="0.3">
      <c r="A8" s="1" t="s">
        <v>767</v>
      </c>
      <c r="B8" s="1">
        <v>34574</v>
      </c>
      <c r="C8" s="1">
        <v>2149888.9700000002</v>
      </c>
      <c r="D8" s="1">
        <v>62.18</v>
      </c>
      <c r="E8" s="1">
        <v>72</v>
      </c>
      <c r="F8" s="1">
        <v>0.21</v>
      </c>
    </row>
    <row r="9" spans="1:6" x14ac:dyDescent="0.3">
      <c r="A9" s="1" t="s">
        <v>768</v>
      </c>
      <c r="B9" s="1">
        <v>19426</v>
      </c>
      <c r="C9" s="1">
        <v>1043791.37</v>
      </c>
      <c r="D9" s="1">
        <v>53.73</v>
      </c>
      <c r="E9" s="1">
        <v>41</v>
      </c>
      <c r="F9" s="1">
        <v>0.21</v>
      </c>
    </row>
    <row r="10" spans="1:6" x14ac:dyDescent="0.3">
      <c r="A10" s="1" t="s">
        <v>769</v>
      </c>
      <c r="B10" s="1">
        <v>39327</v>
      </c>
      <c r="C10" s="1">
        <v>1896860</v>
      </c>
      <c r="D10" s="1">
        <v>48.23</v>
      </c>
      <c r="E10" s="1">
        <v>70</v>
      </c>
      <c r="F10" s="1">
        <v>0.18</v>
      </c>
    </row>
    <row r="11" spans="1:6" x14ac:dyDescent="0.3">
      <c r="A11" s="1" t="s">
        <v>770</v>
      </c>
      <c r="B11" s="1">
        <v>40104</v>
      </c>
      <c r="C11" s="1">
        <v>2566048.02</v>
      </c>
      <c r="D11" s="1">
        <v>63.98</v>
      </c>
      <c r="E11" s="1">
        <v>59</v>
      </c>
      <c r="F11" s="1">
        <v>0.15</v>
      </c>
    </row>
    <row r="12" spans="1:6" x14ac:dyDescent="0.3">
      <c r="A12" s="1" t="s">
        <v>771</v>
      </c>
      <c r="B12" s="1">
        <v>39268</v>
      </c>
      <c r="C12" s="1">
        <v>1993948.08</v>
      </c>
      <c r="D12" s="1">
        <v>50.78</v>
      </c>
      <c r="E12" s="1">
        <v>54</v>
      </c>
      <c r="F12" s="1">
        <v>0.14000000000000001</v>
      </c>
    </row>
    <row r="13" spans="1:6" x14ac:dyDescent="0.3">
      <c r="A13" s="1" t="s">
        <v>772</v>
      </c>
      <c r="B13" s="1">
        <v>36674</v>
      </c>
      <c r="C13" s="1">
        <v>1975534.19</v>
      </c>
      <c r="D13" s="1">
        <v>53.87</v>
      </c>
      <c r="E13" s="1">
        <v>52</v>
      </c>
      <c r="F13" s="1">
        <v>0.14000000000000001</v>
      </c>
    </row>
    <row r="14" spans="1:6" x14ac:dyDescent="0.3">
      <c r="A14" s="1" t="s">
        <v>773</v>
      </c>
      <c r="B14" s="1">
        <v>52345</v>
      </c>
      <c r="C14" s="1">
        <v>3035769.89</v>
      </c>
      <c r="D14" s="1">
        <v>58</v>
      </c>
      <c r="E14" s="1">
        <v>67</v>
      </c>
      <c r="F14" s="1">
        <v>0.13</v>
      </c>
    </row>
    <row r="15" spans="1:6" x14ac:dyDescent="0.3">
      <c r="A15" s="1" t="s">
        <v>774</v>
      </c>
      <c r="B15" s="1">
        <v>48692</v>
      </c>
      <c r="C15" s="1">
        <v>2800126.59</v>
      </c>
      <c r="D15" s="1">
        <v>57.51</v>
      </c>
      <c r="E15" s="1">
        <v>65</v>
      </c>
      <c r="F15" s="1">
        <v>0.13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5"/>
  <sheetViews>
    <sheetView zoomScaleNormal="100" workbookViewId="0"/>
  </sheetViews>
  <sheetFormatPr baseColWidth="10" defaultColWidth="10.5546875" defaultRowHeight="14.4" x14ac:dyDescent="0.3"/>
  <sheetData>
    <row r="1" spans="1:1" x14ac:dyDescent="0.3">
      <c r="A1" t="s">
        <v>775</v>
      </c>
    </row>
    <row r="2" spans="1:1" x14ac:dyDescent="0.3">
      <c r="A2" t="s">
        <v>776</v>
      </c>
    </row>
    <row r="3" spans="1:1" x14ac:dyDescent="0.3">
      <c r="A3" t="s">
        <v>777</v>
      </c>
    </row>
    <row r="4" spans="1:1" x14ac:dyDescent="0.3">
      <c r="A4" t="s">
        <v>778</v>
      </c>
    </row>
    <row r="5" spans="1:1" x14ac:dyDescent="0.3">
      <c r="A5" t="s">
        <v>779</v>
      </c>
    </row>
    <row r="6" spans="1:1" x14ac:dyDescent="0.3">
      <c r="A6" t="s">
        <v>780</v>
      </c>
    </row>
    <row r="7" spans="1:1" x14ac:dyDescent="0.3">
      <c r="A7" t="s">
        <v>781</v>
      </c>
    </row>
    <row r="8" spans="1:1" x14ac:dyDescent="0.3">
      <c r="A8" t="s">
        <v>782</v>
      </c>
    </row>
    <row r="9" spans="1:1" x14ac:dyDescent="0.3">
      <c r="A9" t="s">
        <v>783</v>
      </c>
    </row>
    <row r="10" spans="1:1" x14ac:dyDescent="0.3">
      <c r="A10" t="s">
        <v>784</v>
      </c>
    </row>
    <row r="11" spans="1:1" x14ac:dyDescent="0.3">
      <c r="A11" t="s">
        <v>785</v>
      </c>
    </row>
    <row r="12" spans="1:1" x14ac:dyDescent="0.3">
      <c r="A12" t="s">
        <v>786</v>
      </c>
    </row>
    <row r="13" spans="1:1" x14ac:dyDescent="0.3">
      <c r="A13" t="s">
        <v>787</v>
      </c>
    </row>
    <row r="14" spans="1:1" x14ac:dyDescent="0.3">
      <c r="A14" t="s">
        <v>788</v>
      </c>
    </row>
    <row r="15" spans="1:1" x14ac:dyDescent="0.3">
      <c r="A15" t="s">
        <v>789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ranking_comercios_riesgo</vt:lpstr>
      <vt:lpstr>kpi_resumen_diario</vt:lpstr>
      <vt:lpstr>kpi_fraude_por_horario</vt:lpstr>
      <vt:lpstr>kpi_fraude_por_estado</vt:lpstr>
      <vt:lpstr>kpi_fraude_por_categoria (2)</vt:lpstr>
      <vt:lpstr>kpi_fraude_por_categoria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USUARIO</cp:lastModifiedBy>
  <cp:revision>0</cp:revision>
  <dcterms:created xsi:type="dcterms:W3CDTF">2026-06-26T01:39:40Z</dcterms:created>
  <dcterms:modified xsi:type="dcterms:W3CDTF">2026-07-03T05:24:44Z</dcterms:modified>
  <dc:language>en-US</dc:language>
</cp:coreProperties>
</file>